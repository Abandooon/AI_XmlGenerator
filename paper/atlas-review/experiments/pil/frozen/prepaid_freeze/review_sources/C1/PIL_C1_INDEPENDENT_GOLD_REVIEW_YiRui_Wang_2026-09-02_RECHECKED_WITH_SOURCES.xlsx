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c753a6bd6e4542" /></Relationships>
</file>

<file path=xl/workbook.xml><?xml version="1.0" encoding="utf-8"?>
<x:workbook xmlns:x="http://schemas.openxmlformats.org/spreadsheetml/2006/main">
  <x:sheets>
    <x:sheet xmlns:r="http://schemas.openxmlformats.org/officeDocument/2006/relationships" name="说明" sheetId="1" r:id="R4bfe8278cab34d34"/>
    <x:sheet xmlns:r="http://schemas.openxmlformats.org/officeDocument/2006/relationships" name="问卷" sheetId="2" r:id="Re225f758bc754a21"/>
    <x:sheet xmlns:r="http://schemas.openxmlformats.org/officeDocument/2006/relationships" name="选项与编码" sheetId="3" r:id="Rf13ced4741914e62"/>
    <x:sheet xmlns:r="http://schemas.openxmlformats.org/officeDocument/2006/relationships" name="复核法源" sheetId="4" r:id="R858c5bb5b87f453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6"/>
      <x:color rgb="FFFFFFFF"/>
      <x:name val="Carlito"/>
    </x:font>
    <x:font>
      <x:i/>
      <x:sz val="11"/>
      <x:color rgb="FF1F2937"/>
      <x:name val="Carlito"/>
    </x:font>
    <x:font>
      <x:sz val="10"/>
      <x:color rgb="FF1F2937"/>
      <x:name val="Microsoft YaHei"/>
    </x:font>
    <x:font>
      <x:b/>
      <x:sz val="10"/>
      <x:color rgb="FF1F2937"/>
      <x:name val="Microsoft YaHei"/>
    </x:font>
    <x:font>
      <x:b/>
      <x:sz val="11"/>
      <x:color rgb="FFFFFFFF"/>
      <x:name val="Carlito"/>
    </x:font>
    <x:font>
      <x:b/>
      <x:sz val="11"/>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9"/>
      </x:patternFill>
    </x:fill>
    <x:fill>
      <x:patternFill patternType="solid">
        <x:fgColor rgb="FFFFFFFF"/>
      </x:patternFill>
    </x:fill>
    <x:fill>
      <x:patternFill patternType="solid">
        <x:fgColor rgb="FFFFF2CC"/>
      </x:patternFill>
    </x:fill>
    <x:fill>
      <x:patternFill patternType="solid">
        <x:fgColor rgb="FFE2F0D9"/>
      </x:patternFill>
    </x:fill>
    <x:fill>
      <x:patternFill patternType="solid">
        <x:fgColor rgb="FF17365D"/>
      </x:patternFill>
    </x:fill>
    <x:fill>
      <x:patternFill patternType="solid">
        <x:fgColor rgb="FFFFF2CC"/>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5" fillId="2" borderId="0"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6" fillId="4" borderId="1" xfId="0" applyNumberFormat="1" applyFont="1" applyFill="1" applyBorder="1"/>
    <x:xf numFmtId="0" fontId="0" fillId="6" borderId="1" xfId="0" applyNumberFormat="1" applyFont="1" applyFill="1" applyBorder="1"/>
    <x:xf numFmtId="0" fontId="0" fillId="7" borderId="1" xfId="0" applyNumberFormat="1" applyFont="1" applyFill="1" applyBorder="1"/>
    <x:xf numFmtId="0" fontId="6" fillId="4" borderId="1" xfId="0" applyNumberFormat="1" applyFont="1" applyFill="1" applyBorder="1" applyAlignment="1">
      <x:alignment wrapText="1"/>
    </x:xf>
    <x:xf numFmtId="0" fontId="0" fillId="6" borderId="1" xfId="0" applyNumberFormat="1" applyFont="1" applyFill="1" applyBorder="1" applyAlignment="1">
      <x:alignment wrapText="1"/>
    </x:xf>
    <x:xf numFmtId="0" fontId="0" fillId="7" borderId="1" xfId="0" applyNumberFormat="1" applyFont="1" applyFill="1" applyBorder="1" applyAlignment="1">
      <x:alignment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3" fillId="6" borderId="1" xfId="0" applyNumberFormat="1" applyFont="1" applyFill="1" applyBorder="1" applyAlignment="1">
      <x:alignment vertical="top" wrapText="1"/>
    </x:xf>
    <x:xf numFmtId="0" fontId="5" fillId="2"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200" fontId="0" fillId="6" borderId="1" xfId="0" applyNumberFormat="1" applyFont="1" applyFill="1" applyBorder="1" applyAlignment="1">
      <x:alignment wrapText="1"/>
    </x:xf>
    <x:xf numFmtId="0" fontId="0" fillId="0" borderId="0"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9" borderId="0" xfId="0" applyNumberFormat="1" applyFont="1" applyFill="1" applyBorder="1" applyAlignment="1">
      <x:alignment horizontal="center" vertical="top" wrapText="1"/>
    </x:xf>
    <x:xf numFmtId="0" fontId="0"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98b04c098049b2" /><Relationship Type="http://schemas.openxmlformats.org/officeDocument/2006/relationships/theme" Target="/xl/theme/theme1.xml" Id="R8327eae22ab74d5f" /><Relationship Type="http://schemas.openxmlformats.org/officeDocument/2006/relationships/sharedStrings" Target="/xl/sharedStrings.xml" Id="R52527bf543d349f7" /><Relationship Type="http://schemas.openxmlformats.org/officeDocument/2006/relationships/worksheet" Target="/xl/worksheets/sheet1.xml" Id="R4bfe8278cab34d34" /><Relationship Type="http://schemas.openxmlformats.org/officeDocument/2006/relationships/worksheet" Target="/xl/worksheets/sheet2.xml" Id="Re225f758bc754a21" /><Relationship Type="http://schemas.openxmlformats.org/officeDocument/2006/relationships/worksheet" Target="/xl/worksheets/sheet3.xml" Id="Rf13ced4741914e62" /><Relationship Type="http://schemas.openxmlformats.org/officeDocument/2006/relationships/worksheet" Target="/xl/worksheets/sheet4.xml" Id="R858c5bb5b87f4538" /></Relationships>
</file>

<file path=xl/tables/table1.xml><?xml version="1.0" encoding="utf-8"?>
<x:table xmlns:x="http://schemas.openxmlformats.org/spreadsheetml/2006/main" id="1" name="PILC1IndependentReviewTable" displayName="PILC1IndependentReviewTable" ref="A1:N61" headerRowCount="1" totalsRowCount="0" totalsRowShown="0">
  <x:autoFilter ref="A1:N61"/>
  <x:tableColumns count="14">
    <x:tableColumn id="1" name="呈现序号"/>
    <x:tableColumn id="2" name="评审编号"/>
    <x:tableColumn id="3" name="案情事实"/>
    <x:tableColumn id="4" name="主要结论"/>
    <x:tableColumn id="5" name="主要法院/法域"/>
    <x:tableColumn id="6" name="主要管辖类型"/>
    <x:tableColumn id="7" name="可接受备选管辖类型"/>
    <x:tableColumn id="8" name="材料是否不足"/>
    <x:tableColumn id="9" name="是否条件式回答"/>
    <x:tableColumn id="10" name="法律依据"/>
    <x:tableColumn id="11" name="缺失事实/条件"/>
    <x:tableColumn id="12" name="歧义程度"/>
    <x:tableColumn id="13" name="信心(1-5)"/>
    <x:tableColumn id="14" name="简要理由/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25aa3132b14d7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s>
  <x:sheetData>
    <x:row r="1" ht="30" customHeight="1">
      <x:c r="A1" s="4" t="str">
        <x:v>PIL 第二名独立 gold 评审问卷 C1</x:v>
      </x:c>
      <x:c r="B1" s="4"/>
      <x:c r="C1" s="4"/>
      <x:c r="D1" s="4"/>
      <x:c r="E1" s="4"/>
      <x:c r="F1" s="4"/>
      <x:c r="G1" s="4"/>
      <x:c r="H1" s="4"/>
      <x:c r="I1" s="4"/>
      <x:c r="J1" s="4"/>
      <x:c r="K1" s="4"/>
    </x:row>
    <x:row r="2" ht="42" customHeight="1">
      <x:c r="A2" s="8" t="str">
        <x:v>只依据盲化案情与自行查阅的权威法源独立判断；不要接触旧 gold、其他评审答案或任何模型输出。</x:v>
      </x:c>
      <x:c r="B2" s="8"/>
      <x:c r="C2" s="8"/>
      <x:c r="D2" s="8"/>
      <x:c r="E2" s="8"/>
      <x:c r="F2" s="8"/>
      <x:c r="G2" s="8"/>
      <x:c r="H2" s="8"/>
      <x:c r="I2" s="8"/>
      <x:c r="J2" s="8"/>
      <x:c r="K2" s="8"/>
    </x:row>
    <x:row r="4" ht="38" customHeight="1">
      <x:c r="A4" s="14" t="str">
        <x:v>研究目的</x:v>
      </x:c>
      <x:c r="B4" s="15" t="str">
        <x:v>为 60 个国际私法案例建立第二份真正独立的领域判断，用于之后与第一评审形成共识 gold；这不是模型评分。</x:v>
      </x:c>
      <x:c r="C4" s="15"/>
      <x:c r="D4" s="15"/>
      <x:c r="E4" s="15"/>
      <x:c r="F4" s="15"/>
      <x:c r="G4" s="15"/>
      <x:c r="H4" s="15"/>
      <x:c r="I4" s="15"/>
      <x:c r="J4" s="15"/>
      <x:c r="K4" s="15"/>
    </x:row>
    <x:row r="5" ht="38" customHeight="1">
      <x:c r="A5" s="14" t="str">
        <x:v>评审资格</x:v>
      </x:c>
      <x:c r="B5" s="15" t="str">
        <x:v>国际私法研究生或具有相当训练的研究者；未参与本数据集、gold、提示词、评分器或模型输出的制作。</x:v>
      </x:c>
      <x:c r="C5" s="15"/>
      <x:c r="D5" s="15"/>
      <x:c r="E5" s="15"/>
      <x:c r="F5" s="15"/>
      <x:c r="G5" s="15"/>
      <x:c r="H5" s="15"/>
      <x:c r="I5" s="15"/>
      <x:c r="J5" s="15"/>
      <x:c r="K5" s="15"/>
    </x:row>
    <x:row r="6" ht="38" customHeight="1">
      <x:c r="A6" s="14" t="str">
        <x:v>可使用材料</x:v>
      </x:c>
      <x:c r="B6" s="15" t="str">
        <x:v>可查阅 EUR-Lex 上 Regulation (EU) No 1215/2012 正文和 CJEU 官方判例；请自行检索，不使用项目知识库或旧标注。</x:v>
      </x:c>
      <x:c r="C6" s="15"/>
      <x:c r="D6" s="15"/>
      <x:c r="E6" s="15"/>
      <x:c r="F6" s="15"/>
      <x:c r="G6" s="15"/>
      <x:c r="H6" s="15"/>
      <x:c r="I6" s="15"/>
      <x:c r="J6" s="15"/>
      <x:c r="K6" s="15"/>
    </x:row>
    <x:row r="7" ht="38" customHeight="1">
      <x:c r="A7" s="14" t="str">
        <x:v>官方法规入口</x:v>
      </x:c>
      <x:c r="B7" s="15" t="str">
        <x:v>https://eur-lex.europa.eu/legal-content/EN/TXT/?uri=CELEX:32012R1215</x:v>
      </x:c>
      <x:c r="C7" s="15"/>
      <x:c r="D7" s="15"/>
      <x:c r="E7" s="15"/>
      <x:c r="F7" s="15"/>
      <x:c r="G7" s="15"/>
      <x:c r="H7" s="15"/>
      <x:c r="I7" s="15"/>
      <x:c r="J7" s="15"/>
      <x:c r="K7" s="15"/>
    </x:row>
    <x:row r="8" ht="38" customHeight="1">
      <x:c r="A8" s="14" t="str">
        <x:v>独立性要求</x:v>
      </x:c>
      <x:c r="B8" s="15" t="str">
        <x:v>不得查看原 case_id/group/expected_output，不得查看 A1/A2/B 问卷答案、模型输出、实验臂、自动解析或系统评分。</x:v>
      </x:c>
      <x:c r="C8" s="15"/>
      <x:c r="D8" s="15"/>
      <x:c r="E8" s="15"/>
      <x:c r="F8" s="15"/>
      <x:c r="G8" s="15"/>
      <x:c r="H8" s="15"/>
      <x:c r="I8" s="15"/>
      <x:c r="J8" s="15"/>
      <x:c r="K8" s="15"/>
    </x:row>
    <x:row r="9" ht="38" customHeight="1">
      <x:c r="A9" s="14" t="str">
        <x:v>主要结论</x:v>
      </x:c>
      <x:c r="B9" s="15" t="str">
        <x:v>选择案件的主要程序性结论；事实不足时选择 Abstain_Insufficient_Info，不要猜测。</x:v>
      </x:c>
      <x:c r="C9" s="15"/>
      <x:c r="D9" s="15"/>
      <x:c r="E9" s="15"/>
      <x:c r="F9" s="15"/>
      <x:c r="G9" s="15"/>
      <x:c r="H9" s="15"/>
      <x:c r="I9" s="15"/>
      <x:c r="J9" s="15"/>
      <x:c r="K9" s="15"/>
    </x:row>
    <x:row r="10" ht="38" customHeight="1">
      <x:c r="A10" s="14" t="str">
        <x:v>主要法院/法域</x:v>
      </x:c>
      <x:c r="B10" s="15" t="str">
        <x:v>自由填写主要有管辖权或应继续审理的国家/法院；弃答时填写 none。</x:v>
      </x:c>
      <x:c r="C10" s="15"/>
      <x:c r="D10" s="15"/>
      <x:c r="E10" s="15"/>
      <x:c r="F10" s="15"/>
      <x:c r="G10" s="15"/>
      <x:c r="H10" s="15"/>
      <x:c r="I10" s="15"/>
      <x:c r="J10" s="15"/>
      <x:c r="K10" s="15"/>
    </x:row>
    <x:row r="11" ht="38" customHeight="1">
      <x:c r="A11" s="14" t="str">
        <x:v>类型集合</x:v>
      </x:c>
      <x:c r="B11" s="15" t="str">
        <x:v>主要管辖类型只能选一个原子标签。若另一类型也可成立，填入“可接受备选管辖类型”，多个用分号分隔；不要创造 special_or_general 混合标签。</x:v>
      </x:c>
      <x:c r="C11" s="15"/>
      <x:c r="D11" s="15"/>
      <x:c r="E11" s="15"/>
      <x:c r="F11" s="15"/>
      <x:c r="G11" s="15"/>
      <x:c r="H11" s="15"/>
      <x:c r="I11" s="15"/>
      <x:c r="J11" s="15"/>
      <x:c r="K11" s="15"/>
    </x:row>
    <x:row r="12" ht="38" customHeight="1">
      <x:c r="A12" s="14" t="str">
        <x:v>条件与不足</x:v>
      </x:c>
      <x:c r="B12" s="15" t="str">
        <x:v>答案依赖未给明的事实时，“是否条件式回答”选 yes，并在“缺失事实/条件”中说明；若不足以给出主要结论，则同时选择弃答。</x:v>
      </x:c>
      <x:c r="C12" s="15"/>
      <x:c r="D12" s="15"/>
      <x:c r="E12" s="15"/>
      <x:c r="F12" s="15"/>
      <x:c r="G12" s="15"/>
      <x:c r="H12" s="15"/>
      <x:c r="I12" s="15"/>
      <x:c r="J12" s="15"/>
      <x:c r="K12" s="15"/>
    </x:row>
    <x:row r="13" ht="38" customHeight="1">
      <x:c r="A13" s="14" t="str">
        <x:v>条文核验</x:v>
      </x:c>
      <x:c r="B13" s="15" t="str">
        <x:v>请精确记录条文。特别注意：一般同一诉因先受理、相关诉讼、专属选择法院例外属于不同规则，请以官方文本核验条号。</x:v>
      </x:c>
      <x:c r="C13" s="15"/>
      <x:c r="D13" s="15"/>
      <x:c r="E13" s="15"/>
      <x:c r="F13" s="15"/>
      <x:c r="G13" s="15"/>
      <x:c r="H13" s="15"/>
      <x:c r="I13" s="15"/>
      <x:c r="J13" s="15"/>
      <x:c r="K13" s="15"/>
    </x:row>
    <x:row r="14" ht="38" customHeight="1">
      <x:c r="A14" s="14" t="str">
        <x:v>逐案原则</x:v>
      </x:c>
      <x:c r="B14" s="15" t="str">
        <x:v>60 行逐条独立判断；不要假定一行延续另一行，也不要尝试还原原始分组。</x:v>
      </x:c>
      <x:c r="C14" s="15"/>
      <x:c r="D14" s="15"/>
      <x:c r="E14" s="15"/>
      <x:c r="F14" s="15"/>
      <x:c r="G14" s="15"/>
      <x:c r="H14" s="15"/>
      <x:c r="I14" s="15"/>
      <x:c r="J14" s="15"/>
      <x:c r="K14" s="15"/>
    </x:row>
    <x:row r="15" ht="38" customHeight="1">
      <x:c r="A15" s="14" t="str">
        <x:v>完成要求</x:v>
      </x:c>
      <x:c r="B15" s="15" t="str">
        <x:v>每行至少填写主要结论、主要法院/法域、主要管辖类型、材料是否不足、是否条件式、法律依据、歧义和信心。</x:v>
      </x:c>
      <x:c r="C15" s="15"/>
      <x:c r="D15" s="15"/>
      <x:c r="E15" s="15"/>
      <x:c r="F15" s="15"/>
      <x:c r="G15" s="15"/>
      <x:c r="H15" s="15"/>
      <x:c r="I15" s="15"/>
      <x:c r="J15" s="15"/>
      <x:c r="K15" s="15"/>
    </x:row>
    <x:row r="16" ht="38" customHeight="1">
      <x:c r="A16" s="14" t="str">
        <x:v>完成情况</x:v>
      </x:c>
      <x:c r="B16" s="15" t="str">
        <x:f>COUNTA('问卷'!D2:D61)&amp;" / 60"</x:f>
        <x:v>60 / 60</x:v>
      </x:c>
      <x:c r="C16" s="15"/>
      <x:c r="D16" s="15"/>
      <x:c r="E16" s="15"/>
      <x:c r="F16" s="15"/>
      <x:c r="G16" s="15"/>
      <x:c r="H16" s="15"/>
      <x:c r="I16" s="15"/>
      <x:c r="J16" s="15"/>
      <x:c r="K16" s="15"/>
    </x:row>
    <x:row r="17" ht="38" customHeight="1">
      <x:c r="A17" s="14" t="str">
        <x:v>冻结数据集 SHA-256</x:v>
      </x:c>
      <x:c r="B17" s="15" t="str">
        <x:v>7af88b23bb9a1f1208e9a4e5dc95c7786b9ee813744027980180fdfadcc56103</x:v>
      </x:c>
      <x:c r="C17" s="15"/>
      <x:c r="D17" s="15"/>
      <x:c r="E17" s="15"/>
      <x:c r="F17" s="15"/>
      <x:c r="G17" s="15"/>
      <x:c r="H17" s="15"/>
      <x:c r="I17" s="15"/>
      <x:c r="J17" s="15"/>
      <x:c r="K17" s="15"/>
    </x:row>
    <x:row r="19">
      <x:c r="A19" s="16" t="str">
        <x:v>评审者声明（请填写）</x:v>
      </x:c>
      <x:c r="B19" s="16"/>
      <x:c r="C19" s="16"/>
      <x:c r="D19" s="16"/>
      <x:c r="E19" s="16"/>
      <x:c r="F19" s="16"/>
      <x:c r="G19" s="16"/>
      <x:c r="H19" s="16"/>
      <x:c r="I19" s="16"/>
      <x:c r="J19" s="16"/>
      <x:c r="K19" s="16"/>
    </x:row>
    <x:row r="20" ht="30" customHeight="1">
      <x:c r="A20" s="24" t="str">
        <x:v>评审者姓名或编号</x:v>
      </x:c>
      <x:c r="B20" s="25" t="str">
        <x:v>YiRui Wang</x:v>
      </x:c>
      <x:c r="C20" s="25"/>
      <x:c r="D20" s="25"/>
      <x:c r="E20" s="25"/>
      <x:c r="F20" s="25"/>
      <x:c r="G20" s="25"/>
      <x:c r="H20" s="25"/>
      <x:c r="I20" s="25"/>
      <x:c r="J20" s="25"/>
      <x:c r="K20" s="25"/>
    </x:row>
    <x:row r="21" ht="30" customHeight="1">
      <x:c r="A21" s="24" t="str">
        <x:v>专业背景/资格</x:v>
      </x:c>
      <x:c r="B21" s="25" t="str">
        <x:v>国际私法研究生</x:v>
      </x:c>
      <x:c r="C21" s="25"/>
      <x:c r="D21" s="25"/>
      <x:c r="E21" s="25"/>
      <x:c r="F21" s="25"/>
      <x:c r="G21" s="25"/>
      <x:c r="H21" s="25"/>
      <x:c r="I21" s="25"/>
      <x:c r="J21" s="25"/>
      <x:c r="K21" s="25"/>
    </x:row>
    <x:row r="22" ht="30" customHeight="1">
      <x:c r="A22" s="24" t="str">
        <x:v>填写日期</x:v>
      </x:c>
      <x:c r="B22" s="37" t="n">
        <x:v>46267</x:v>
      </x:c>
      <x:c r="C22" s="25"/>
      <x:c r="D22" s="25"/>
      <x:c r="E22" s="25"/>
      <x:c r="F22" s="25"/>
      <x:c r="G22" s="25"/>
      <x:c r="H22" s="25"/>
      <x:c r="I22" s="25"/>
      <x:c r="J22" s="25"/>
      <x:c r="K22" s="25"/>
    </x:row>
    <x:row r="23" ht="30" customHeight="1">
      <x:c r="A23" s="24" t="str">
        <x:v>声明</x:v>
      </x:c>
      <x:c r="B23" s="26" t="str">
        <x:v>我确认未参与本数据集及旧 gold 的编写，未查看其他评审答案或任何模型输出，并按案情和权威法源独立作答。</x:v>
      </x:c>
      <x:c r="C23" s="26"/>
      <x:c r="D23" s="26"/>
      <x:c r="E23" s="26"/>
      <x:c r="F23" s="26"/>
      <x:c r="G23" s="26"/>
      <x:c r="H23" s="26"/>
      <x:c r="I23" s="26"/>
      <x:c r="J23" s="26"/>
      <x:c r="K23" s="26"/>
    </x:row>
  </x:sheetData>
  <x:mergeCells>
    <x:mergeCell ref="A1:K1"/>
    <x:mergeCell ref="A2:K2"/>
    <x:mergeCell ref="B4:K4"/>
    <x:mergeCell ref="B5:K5"/>
    <x:mergeCell ref="B6:K6"/>
    <x:mergeCell ref="B7:K7"/>
    <x:mergeCell ref="B8:K8"/>
    <x:mergeCell ref="B9:K9"/>
    <x:mergeCell ref="B10:K10"/>
    <x:mergeCell ref="B11:K11"/>
    <x:mergeCell ref="B12:K12"/>
    <x:mergeCell ref="B13:K13"/>
    <x:mergeCell ref="B14:K14"/>
    <x:mergeCell ref="B15:K15"/>
    <x:mergeCell ref="B16:K16"/>
    <x:mergeCell ref="B17:K17"/>
    <x:mergeCell ref="A19:K19"/>
    <x:mergeCell ref="B20:K20"/>
    <x:mergeCell ref="B21:K21"/>
    <x:mergeCell ref="B22:K22"/>
    <x:mergeCell ref="B23:K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68" hidden="0" customWidth="1"/>
    <x:col min="4" max="4" width="40" hidden="0" customWidth="1"/>
    <x:col min="5" max="5" width="30" hidden="0" customWidth="1"/>
    <x:col min="6" max="6" width="20" hidden="0" customWidth="1"/>
    <x:col min="7" max="7" width="30" hidden="0" customWidth="1"/>
    <x:col min="8" max="8" width="16" hidden="0" customWidth="1"/>
    <x:col min="9" max="9" width="18" hidden="0" customWidth="1"/>
    <x:col min="10" max="10" width="28" hidden="0" customWidth="1"/>
    <x:col min="11" max="11" width="34" hidden="0" customWidth="1"/>
    <x:col min="12" max="12" width="14" hidden="0" customWidth="1"/>
    <x:col min="13" max="13" width="12" hidden="0" customWidth="1"/>
    <x:col min="14" max="14" width="46" hidden="0" customWidth="1"/>
  </x:cols>
  <x:sheetData>
    <x:row r="1" ht="36" customHeight="1">
      <x:c r="A1" s="29" t="str">
        <x:v>呈现序号</x:v>
      </x:c>
      <x:c r="B1" s="29" t="str">
        <x:v>评审编号</x:v>
      </x:c>
      <x:c r="C1" s="29" t="str">
        <x:v>案情事实</x:v>
      </x:c>
      <x:c r="D1" s="29" t="str">
        <x:v>主要结论</x:v>
      </x:c>
      <x:c r="E1" s="29" t="str">
        <x:v>主要法院/法域</x:v>
      </x:c>
      <x:c r="F1" s="29" t="str">
        <x:v>主要管辖类型</x:v>
      </x:c>
      <x:c r="G1" s="29" t="str">
        <x:v>可接受备选管辖类型</x:v>
      </x:c>
      <x:c r="H1" s="29" t="str">
        <x:v>材料是否不足</x:v>
      </x:c>
      <x:c r="I1" s="29" t="str">
        <x:v>是否条件式回答</x:v>
      </x:c>
      <x:c r="J1" s="29" t="str">
        <x:v>法律依据</x:v>
      </x:c>
      <x:c r="K1" s="29" t="str">
        <x:v>缺失事实/条件</x:v>
      </x:c>
      <x:c r="L1" s="29" t="str">
        <x:v>歧义程度</x:v>
      </x:c>
      <x:c r="M1" s="29" t="str">
        <x:v>信心(1-5)</x:v>
      </x:c>
      <x:c r="N1" s="29" t="str">
        <x:v>简要理由/备注</x:v>
      </x:c>
    </x:row>
    <x:row r="2" ht="78" customHeight="1">
      <x:c r="A2" s="13" t="n">
        <x:v>1</x:v>
      </x:c>
      <x:c r="B2" s="13" t="str">
        <x:v>C1-0E7A4E47F8</x:v>
      </x:c>
      <x:c r="C2" s="13" t="str">
        <x:v>奥地利登记簿记载甲为奥地利不动产所有者；乙主张自己才是产权人，在德国起诉请求变更奥地利登记簿。</x:v>
      </x:c>
      <x:c r="D2" s="30" t="str">
        <x:v>Court_of_X_has_jurisdiction</x:v>
      </x:c>
      <x:c r="E2" s="30" t="str">
        <x:v>奥地利法院</x:v>
      </x:c>
      <x:c r="F2" s="30" t="str">
        <x:v>exclusive</x:v>
      </x:c>
      <x:c r="G2" s="30"/>
      <x:c r="H2" s="30" t="str">
        <x:v>no</x:v>
      </x:c>
      <x:c r="I2" s="30" t="str">
        <x:v>no</x:v>
      </x:c>
      <x:c r="J2" s="30" t="str">
        <x:v>Art.24(1);Art.27</x:v>
      </x:c>
      <x:c r="K2" s="30"/>
      <x:c r="L2" s="30" t="str">
        <x:v>low</x:v>
      </x:c>
      <x:c r="M2" s="30" t="n">
        <x:v>5</x:v>
      </x:c>
      <x:c r="N2" s="30" t="str">
        <x:v>请求直接涉及奥地利不动产所有权并要求删除/更正体现所有权的登记，适用 Art.24(1) 的不动产物权专属管辖；德国法院应依 Art.27 依职权否认管辖。参见 C-417/15, Schmidt。</x:v>
      </x:c>
    </x:row>
    <x:row r="3" ht="78" customHeight="1">
      <x:c r="A3" s="13" t="n">
        <x:v>2</x:v>
      </x:c>
      <x:c r="B3" s="13" t="str">
        <x:v>C1-2CA6936C5C</x:v>
      </x:c>
      <x:c r="C3" s="13" t="str">
        <x:v>法国甲与荷兰乙在货物买卖合同中书面约定阿姆斯特丹法院专属管辖。乙先在法国提起消极确认之诉，甲随后在荷兰起诉请求支付价款。</x:v>
      </x:c>
      <x:c r="D3" s="30" t="str">
        <x:v>Decline_in_favor_of_chosen_court</x:v>
      </x:c>
      <x:c r="E3" s="30" t="str">
        <x:v>荷兰阿姆斯特丹法院</x:v>
      </x:c>
      <x:c r="F3" s="30" t="str">
        <x:v>agreement</x:v>
      </x:c>
      <x:c r="G3" s="30"/>
      <x:c r="H3" s="30" t="str">
        <x:v>no</x:v>
      </x:c>
      <x:c r="I3" s="30" t="str">
        <x:v>no</x:v>
      </x:c>
      <x:c r="J3" s="30" t="str">
        <x:v>Art.25(1);Art.31(2)-(3)</x:v>
      </x:c>
      <x:c r="K3" s="30"/>
      <x:c r="L3" s="30" t="str">
        <x:v>low</x:v>
      </x:c>
      <x:c r="M3" s="30" t="n">
        <x:v>5</x:v>
      </x:c>
      <x:c r="N3" s="30" t="str">
        <x:v>有效专属选择法院条款触发反“鱼雷”例外；荷兰指定法院受理后，法国法院应中止并在其确认管辖后让位。</x:v>
      </x:c>
    </x:row>
    <x:row r="4" ht="78" customHeight="1">
      <x:c r="A4" s="13" t="n">
        <x:v>3</x:v>
      </x:c>
      <x:c r="B4" s="13" t="str">
        <x:v>C1-5A898AD029</x:v>
      </x:c>
      <x:c r="C4" s="13" t="str">
        <x:v>甲在奥地利取得对乙的不动产金钱判决，拟在德国申请强制执行；乙在德国提起异议程序。</x:v>
      </x:c>
      <x:c r="D4" s="30" t="str">
        <x:v>Court_of_X_has_jurisdiction</x:v>
      </x:c>
      <x:c r="E4" s="30" t="str">
        <x:v>德国执行地法院</x:v>
      </x:c>
      <x:c r="F4" s="30" t="str">
        <x:v>exclusive</x:v>
      </x:c>
      <x:c r="G4" s="30"/>
      <x:c r="H4" s="30" t="str">
        <x:v>no</x:v>
      </x:c>
      <x:c r="I4" s="30" t="str">
        <x:v>no</x:v>
      </x:c>
      <x:c r="J4" s="30" t="str">
        <x:v>Art.24(5);Art.41(1)-(2)</x:v>
      </x:c>
      <x:c r="K4" s="30"/>
      <x:c r="L4" s="30" t="str">
        <x:v>low</x:v>
      </x:c>
      <x:c r="M4" s="30" t="n">
        <x:v>5</x:v>
      </x:c>
      <x:c r="N4" s="30" t="str">
        <x:v>争议针对在德国实施的强制执行，执行地法院依 Art.24(5) 享有专属管辖；执行程序原则上适用被请求执行成员国法（Art.41）。若异议实质属于拒绝执行申请，再适用 Arts.46-47。</x:v>
      </x:c>
    </x:row>
    <x:row r="5" ht="78" customHeight="1">
      <x:c r="A5" s="13" t="n">
        <x:v>4</x:v>
      </x:c>
      <x:c r="B5" s="13" t="str">
        <x:v>C1-2FA846F330</x:v>
      </x:c>
      <x:c r="C5" s="13" t="str">
        <x:v>英法信托；信托住所地伦敦；受益人甲指控受托人乙管理不当。</x:v>
      </x:c>
      <x:c r="D5" s="30" t="str">
        <x:v>Abstain_Insufficient_Info</x:v>
      </x:c>
      <x:c r="E5" s="30" t="str">
        <x:v>none</x:v>
      </x:c>
      <x:c r="F5" s="30" t="str">
        <x:v>none</x:v>
      </x:c>
      <x:c r="G5" s="30"/>
      <x:c r="H5" s="30" t="str">
        <x:v>yes</x:v>
      </x:c>
      <x:c r="I5" s="30" t="str">
        <x:v>yes</x:v>
      </x:c>
      <x:c r="J5" s="30" t="str">
        <x:v>Art.6(1);Art.7(6);Art.63(3);Withdrawal Agreement Art.67(1)(a)</x:v>
      </x:c>
      <x:c r="K5" s="30" t="str">
        <x:v>缺少诉讼受理日期、拟起诉法院、受托人住所及《布鲁塞尔Ⅰ再述条例》对英国是否仍适用的事实。</x:v>
      </x:c>
      <x:c r="L5" s="30" t="str">
        <x:v>high</x:v>
      </x:c>
      <x:c r="M5" s="30" t="n">
        <x:v>4</x:v>
      </x:c>
      <x:c r="N5" s="30" t="str">
        <x:v>伦敦信托住所只有在相关时期英国受该条例约束且满足适用条件时才可能依 Art.7(6) 形成特别管辖；现有事实不足。</x:v>
      </x:c>
    </x:row>
    <x:row r="6" ht="78" customHeight="1">
      <x:c r="A6" s="13" t="n">
        <x:v>5</x:v>
      </x:c>
      <x:c r="B6" s="13" t="str">
        <x:v>C1-03864CCB0A</x:v>
      </x:c>
      <x:c r="C6" s="13" t="str">
        <x:v>意大利法院受理请求宣告德国注册商标无效之诉；被告出庭对实体答辩未提管辖异议。</x:v>
      </x:c>
      <x:c r="D6" s="30" t="str">
        <x:v>Court_of_X_has_jurisdiction</x:v>
      </x:c>
      <x:c r="E6" s="30" t="str">
        <x:v>德国法院</x:v>
      </x:c>
      <x:c r="F6" s="30" t="str">
        <x:v>exclusive</x:v>
      </x:c>
      <x:c r="G6" s="30"/>
      <x:c r="H6" s="30" t="str">
        <x:v>no</x:v>
      </x:c>
      <x:c r="I6" s="30" t="str">
        <x:v>no</x:v>
      </x:c>
      <x:c r="J6" s="30" t="str">
        <x:v>Art.24(4);Art.26(1);Art.27</x:v>
      </x:c>
      <x:c r="K6" s="30"/>
      <x:c r="L6" s="30" t="str">
        <x:v>low</x:v>
      </x:c>
      <x:c r="M6" s="30" t="n">
        <x:v>5</x:v>
      </x:c>
      <x:c r="N6" s="30" t="str">
        <x:v>德国注册商标的有效性由德国法院专属管辖；实体应诉不能排除 Art.24 的强制性专属管辖。</x:v>
      </x:c>
    </x:row>
    <x:row r="7" ht="78" customHeight="1">
      <x:c r="A7" s="13" t="n">
        <x:v>6</x:v>
      </x:c>
      <x:c r="B7" s="13" t="str">
        <x:v>C1-38DCAB53D0</x:v>
      </x:c>
      <x:c r="C7" s="13" t="str">
        <x:v>葡萄牙公寓的共有业主之间就共有部分使用规则发生争议；一名业主在西班牙起诉其他业主，请求确认自己对该不动产享有优先使用权。</x:v>
      </x:c>
      <x:c r="D7" s="30" t="str">
        <x:v>Court_of_X_has_jurisdiction</x:v>
      </x:c>
      <x:c r="E7" s="30" t="str">
        <x:v>葡萄牙法院</x:v>
      </x:c>
      <x:c r="F7" s="30" t="str">
        <x:v>exclusive</x:v>
      </x:c>
      <x:c r="G7" s="30"/>
      <x:c r="H7" s="30" t="str">
        <x:v>no</x:v>
      </x:c>
      <x:c r="I7" s="30" t="str">
        <x:v>yes</x:v>
      </x:c>
      <x:c r="J7" s="30" t="str">
        <x:v>Art.24(1)</x:v>
      </x:c>
      <x:c r="K7" s="30" t="str">
        <x:v>以所主张的优先使用权属于可对世主张的不动产物权，而非仅属共有人内部债权安排为条件。</x:v>
      </x:c>
      <x:c r="L7" s="30" t="str">
        <x:v>medium</x:v>
      </x:c>
      <x:c r="M7" s="30" t="n">
        <x:v>4</x:v>
      </x:c>
      <x:c r="N7" s="30" t="str">
        <x:v>按案情将请求理解为对葡萄牙不动产的物权性优先使用权，所在地法院专属管辖；若仅为内部使用协议，定性可能改变。</x:v>
      </x:c>
    </x:row>
    <x:row r="8" ht="78" customHeight="1">
      <x:c r="A8" s="13" t="n">
        <x:v>7</x:v>
      </x:c>
      <x:c r="B8" s="13" t="str">
        <x:v>C1-642A5D1116</x:v>
      </x:c>
      <x:c r="C8" s="13" t="str">
        <x:v>法先受理合同赔偿；德后受理同一合同之消极确认。</x:v>
      </x:c>
      <x:c r="D8" s="30" t="str">
        <x:v>Stay_for_first_seised</x:v>
      </x:c>
      <x:c r="E8" s="30" t="str">
        <x:v>法国法院（先受理）；德国法院中止</x:v>
      </x:c>
      <x:c r="F8" s="30" t="str">
        <x:v>lis_pendens</x:v>
      </x:c>
      <x:c r="G8" s="30"/>
      <x:c r="H8" s="30" t="str">
        <x:v>no</x:v>
      </x:c>
      <x:c r="I8" s="30" t="str">
        <x:v>no</x:v>
      </x:c>
      <x:c r="J8" s="30" t="str">
        <x:v>Art.29(1);Art.29(3)</x:v>
      </x:c>
      <x:c r="K8" s="30"/>
      <x:c r="L8" s="30" t="str">
        <x:v>low</x:v>
      </x:c>
      <x:c r="M8" s="30" t="n">
        <x:v>5</x:v>
      </x:c>
      <x:c r="N8" s="30" t="str">
        <x:v>合同赔偿与同一责任关系的消极确认具有同一诉因和对象；后受理的德国法院应中止。参见 C-406/92, Tatry。</x:v>
      </x:c>
    </x:row>
    <x:row r="9" ht="78" customHeight="1">
      <x:c r="A9" s="13" t="n">
        <x:v>8</x:v>
      </x:c>
      <x:c r="B9" s="13" t="str">
        <x:v>C1-D00291DCC2</x:v>
      </x:c>
      <x:c r="C9" s="13" t="str">
        <x:v>意大利不动产买卖合同约定德国法院专属管辖；买受人甲在德国起诉请求确认对该位于意大利的不动产享有所有权。</x:v>
      </x:c>
      <x:c r="D9" s="30" t="str">
        <x:v>Court_of_X_has_jurisdiction</x:v>
      </x:c>
      <x:c r="E9" s="30" t="str">
        <x:v>意大利法院</x:v>
      </x:c>
      <x:c r="F9" s="30" t="str">
        <x:v>exclusive</x:v>
      </x:c>
      <x:c r="G9" s="30"/>
      <x:c r="H9" s="30" t="str">
        <x:v>no</x:v>
      </x:c>
      <x:c r="I9" s="30" t="str">
        <x:v>no</x:v>
      </x:c>
      <x:c r="J9" s="30" t="str">
        <x:v>Art.24(1);Art.25(4);Art.27</x:v>
      </x:c>
      <x:c r="K9" s="30"/>
      <x:c r="L9" s="30" t="str">
        <x:v>low</x:v>
      </x:c>
      <x:c r="M9" s="30" t="n">
        <x:v>5</x:v>
      </x:c>
      <x:c r="N9" s="30" t="str">
        <x:v>请求直接确认意大利不动产所有权，Art.24(1) 优先于德国选择法院条款；德国法院应依职权否认管辖。</x:v>
      </x:c>
    </x:row>
    <x:row r="10" ht="78" customHeight="1">
      <x:c r="A10" s="13" t="n">
        <x:v>9</x:v>
      </x:c>
      <x:c r="B10" s="13" t="str">
        <x:v>C1-1F29D72929</x:v>
      </x:c>
      <x:c r="C10" s="13" t="str">
        <x:v>西班牙买方 vs 波兰卖方；交货地马德里；迟延交货。</x:v>
      </x:c>
      <x:c r="D10" s="30" t="str">
        <x:v>Court_of_X_has_jurisdiction</x:v>
      </x:c>
      <x:c r="E10" s="30" t="str">
        <x:v>西班牙马德里法院</x:v>
      </x:c>
      <x:c r="F10" s="30" t="str">
        <x:v>special</x:v>
      </x:c>
      <x:c r="G10" s="30" t="str">
        <x:v>general</x:v>
      </x:c>
      <x:c r="H10" s="30" t="str">
        <x:v>no</x:v>
      </x:c>
      <x:c r="I10" s="30" t="str">
        <x:v>no</x:v>
      </x:c>
      <x:c r="J10" s="30" t="str">
        <x:v>Art.7(1)(b);Art.4(1)</x:v>
      </x:c>
      <x:c r="K10" s="30"/>
      <x:c r="L10" s="30" t="str">
        <x:v>low</x:v>
      </x:c>
      <x:c r="M10" s="30" t="n">
        <x:v>5</x:v>
      </x:c>
      <x:c r="N10" s="30" t="str">
        <x:v>买卖合同约定交货地为马德里，迟延交货争议可在交货地依特别管辖起诉；波兰被告住所地的一般管辖亦可成立。</x:v>
      </x:c>
    </x:row>
    <x:row r="11" ht="78" customHeight="1">
      <x:c r="A11" s="13" t="n">
        <x:v>10</x:v>
      </x:c>
      <x:c r="B11" s="13" t="str">
        <x:v>C1-BF71373D93</x:v>
      </x:c>
      <x:c r="C11" s="13" t="str">
        <x:v>爱尔兰法院受理雇主甲对法国雇员乙的劳动合同争议；乙到庭就实体答辩，但卷宗中未见法院曾告知其可对管辖提出异议。</x:v>
      </x:c>
      <x:c r="D11" s="30" t="str">
        <x:v>Abstain_Insufficient_Info</x:v>
      </x:c>
      <x:c r="E11" s="30" t="str">
        <x:v>none</x:v>
      </x:c>
      <x:c r="F11" s="30" t="str">
        <x:v>none</x:v>
      </x:c>
      <x:c r="G11" s="30"/>
      <x:c r="H11" s="30" t="str">
        <x:v>yes</x:v>
      </x:c>
      <x:c r="I11" s="30" t="str">
        <x:v>yes</x:v>
      </x:c>
      <x:c r="J11" s="30" t="str">
        <x:v>Art.22(1);Art.26(2)</x:v>
      </x:c>
      <x:c r="K11" s="30" t="str">
        <x:v>缺少雇员住所，以及爱尔兰法院在依应诉取得管辖前已履行 Art.26(2) 告知义务的事实。</x:v>
      </x:c>
      <x:c r="L11" s="30" t="str">
        <x:v>high</x:v>
      </x:c>
      <x:c r="M11" s="30" t="n">
        <x:v>5</x:v>
      </x:c>
      <x:c r="N11" s="30" t="str">
        <x:v>雇主原则上只能在雇员住所地起诉；卷宗未显示弱方被告已获法定告知，不能仅凭实体答辩确认爱尔兰的应诉管辖。</x:v>
      </x:c>
    </x:row>
    <x:row r="12" ht="78" customHeight="1">
      <x:c r="A12" s="13" t="n">
        <x:v>11</x:v>
      </x:c>
      <x:c r="B12" s="13" t="str">
        <x:v>C1-063800907C</x:v>
      </x:c>
      <x:c r="C12" s="13" t="str">
        <x:v>乙先在意大利起确认无责；甲后在法国起赔偿；无管辖协议。</x:v>
      </x:c>
      <x:c r="D12" s="30" t="str">
        <x:v>Stay_for_first_seised</x:v>
      </x:c>
      <x:c r="E12" s="30" t="str">
        <x:v>意大利法院（先受理）；法国法院中止</x:v>
      </x:c>
      <x:c r="F12" s="30" t="str">
        <x:v>lis_pendens</x:v>
      </x:c>
      <x:c r="G12" s="30"/>
      <x:c r="H12" s="30" t="str">
        <x:v>no</x:v>
      </x:c>
      <x:c r="I12" s="30" t="str">
        <x:v>no</x:v>
      </x:c>
      <x:c r="J12" s="30" t="str">
        <x:v>Art.29(1);Art.29(3)</x:v>
      </x:c>
      <x:c r="K12" s="30"/>
      <x:c r="L12" s="30" t="str">
        <x:v>low</x:v>
      </x:c>
      <x:c r="M12" s="30" t="n">
        <x:v>5</x:v>
      </x:c>
      <x:c r="N12" s="30" t="str">
        <x:v>消极确认与随后就同一责任请求赔偿属于镜像诉讼；法国后受理法院应中止。参见 C-406/92, Tatry。</x:v>
      </x:c>
    </x:row>
    <x:row r="13" ht="78" customHeight="1">
      <x:c r="A13" s="13" t="n">
        <x:v>12</x:v>
      </x:c>
      <x:c r="B13" s="13" t="str">
        <x:v>C1-84B8F59BCF</x:v>
      </x:c>
      <x:c r="C13" s="13" t="str">
        <x:v>甲在德国注册商标；乙在法国起诉请求宣告德国商标无效。</x:v>
      </x:c>
      <x:c r="D13" s="30" t="str">
        <x:v>Court_of_X_has_jurisdiction</x:v>
      </x:c>
      <x:c r="E13" s="30" t="str">
        <x:v>德国法院</x:v>
      </x:c>
      <x:c r="F13" s="30" t="str">
        <x:v>exclusive</x:v>
      </x:c>
      <x:c r="G13" s="30"/>
      <x:c r="H13" s="30" t="str">
        <x:v>no</x:v>
      </x:c>
      <x:c r="I13" s="30" t="str">
        <x:v>no</x:v>
      </x:c>
      <x:c r="J13" s="30" t="str">
        <x:v>Art.24(4);Art.27</x:v>
      </x:c>
      <x:c r="K13" s="30"/>
      <x:c r="L13" s="30" t="str">
        <x:v>low</x:v>
      </x:c>
      <x:c r="M13" s="30" t="n">
        <x:v>5</x:v>
      </x:c>
      <x:c r="N13" s="30" t="str">
        <x:v>德国注册商标有效性争议由德国法院专属管辖，法国法院应依职权否认管辖。</x:v>
      </x:c>
    </x:row>
    <x:row r="14" ht="78" customHeight="1">
      <x:c r="A14" s="13" t="n">
        <x:v>13</x:v>
      </x:c>
      <x:c r="B14" s="13" t="str">
        <x:v>C1-8FF4474DA9</x:v>
      </x:c>
      <x:c r="C14" s="13" t="str">
        <x:v>德制造家电销往法；法消费者在法国受伤欲起诉德制造商。</x:v>
      </x:c>
      <x:c r="D14" s="30" t="str">
        <x:v>Court_of_X_has_jurisdiction</x:v>
      </x:c>
      <x:c r="E14" s="30" t="str">
        <x:v>法国法院</x:v>
      </x:c>
      <x:c r="F14" s="30" t="str">
        <x:v>special</x:v>
      </x:c>
      <x:c r="G14" s="30" t="str">
        <x:v>general</x:v>
      </x:c>
      <x:c r="H14" s="30" t="str">
        <x:v>no</x:v>
      </x:c>
      <x:c r="I14" s="30" t="str">
        <x:v>no</x:v>
      </x:c>
      <x:c r="J14" s="30" t="str">
        <x:v>Art.7(2);Art.4(1)</x:v>
      </x:c>
      <x:c r="K14" s="30"/>
      <x:c r="L14" s="30" t="str">
        <x:v>low</x:v>
      </x:c>
      <x:c r="M14" s="30" t="n">
        <x:v>5</x:v>
      </x:c>
      <x:c r="N14" s="30" t="str">
        <x:v>产品致人身损害在法国发生，法国为损害发生地；德国制造商住所地的一般管辖亦可成立。</x:v>
      </x:c>
    </x:row>
    <x:row r="15" ht="78" customHeight="1">
      <x:c r="A15" s="13" t="n">
        <x:v>14</x:v>
      </x:c>
      <x:c r="B15" s="13" t="str">
        <x:v>C1-938E939ECA</x:v>
      </x:c>
      <x:c r="C15" s="13" t="str">
        <x:v>乙为德国居民；甲因货款在德国起诉乙。</x:v>
      </x:c>
      <x:c r="D15" s="30" t="str">
        <x:v>Court_of_X_has_jurisdiction</x:v>
      </x:c>
      <x:c r="E15" s="30" t="str">
        <x:v>德国法院</x:v>
      </x:c>
      <x:c r="F15" s="30" t="str">
        <x:v>general</x:v>
      </x:c>
      <x:c r="G15" s="30"/>
      <x:c r="H15" s="30" t="str">
        <x:v>no</x:v>
      </x:c>
      <x:c r="I15" s="30" t="str">
        <x:v>no</x:v>
      </x:c>
      <x:c r="J15" s="30" t="str">
        <x:v>Art.4(1)</x:v>
      </x:c>
      <x:c r="K15" s="30"/>
      <x:c r="L15" s="30" t="str">
        <x:v>low</x:v>
      </x:c>
      <x:c r="M15" s="30" t="n">
        <x:v>5</x:v>
      </x:c>
      <x:c r="N15" s="30" t="str">
        <x:v>被告住所位于德国，德国法院依一般管辖受理。</x:v>
      </x:c>
    </x:row>
    <x:row r="16" ht="78" customHeight="1">
      <x:c r="A16" s="13" t="n">
        <x:v>15</x:v>
      </x:c>
      <x:c r="B16" s="13" t="str">
        <x:v>C1-64A33C0BBA</x:v>
      </x:c>
      <x:c r="C16" s="13" t="str">
        <x:v>波兰先受理后认定无管辖并驳回；荷兰先前已就同案起诉。</x:v>
      </x:c>
      <x:c r="D16" s="30" t="str">
        <x:v>Abstain_Insufficient_Info</x:v>
      </x:c>
      <x:c r="E16" s="30" t="str">
        <x:v>none</x:v>
      </x:c>
      <x:c r="F16" s="30" t="str">
        <x:v>none</x:v>
      </x:c>
      <x:c r="G16" s="30"/>
      <x:c r="H16" s="30" t="str">
        <x:v>yes</x:v>
      </x:c>
      <x:c r="I16" s="30" t="str">
        <x:v>yes</x:v>
      </x:c>
      <x:c r="J16" s="30" t="str">
        <x:v>Art.29(1);Art.29(3)</x:v>
      </x:c>
      <x:c r="K16" s="30" t="str">
        <x:v>缺少荷兰法院自身管辖基础（如被告住所、履行地或有效管辖协议）及波兰裁定已终局排除先受理障碍的程序信息。</x:v>
      </x:c>
      <x:c r="L16" s="30" t="str">
        <x:v>high</x:v>
      </x:c>
      <x:c r="M16" s="30" t="n">
        <x:v>4</x:v>
      </x:c>
      <x:c r="N16" s="30" t="str">
        <x:v>波兰先受理法院否认管辖后，Art.29 所要求的后受理法院中止障碍可消失；但 Art.29 本身不会赋予荷兰法院实体管辖权，仍须有独立管辖基础，现有事实不足。</x:v>
      </x:c>
    </x:row>
    <x:row r="17" ht="78" customHeight="1">
      <x:c r="A17" s="13" t="n">
        <x:v>16</x:v>
      </x:c>
      <x:c r="B17" s="13" t="str">
        <x:v>C1-00B9C3B5EC</x:v>
      </x:c>
      <x:c r="C17" s="13" t="str">
        <x:v>乙住所意大利；履行地亦在意大利；甲在法国起诉乙。</x:v>
      </x:c>
      <x:c r="D17" s="30" t="str">
        <x:v>Court_of_X_has_jurisdiction</x:v>
      </x:c>
      <x:c r="E17" s="30" t="str">
        <x:v>意大利法院</x:v>
      </x:c>
      <x:c r="F17" s="30" t="str">
        <x:v>general</x:v>
      </x:c>
      <x:c r="G17" s="30" t="str">
        <x:v>special</x:v>
      </x:c>
      <x:c r="H17" s="30" t="str">
        <x:v>no</x:v>
      </x:c>
      <x:c r="I17" s="30" t="str">
        <x:v>no</x:v>
      </x:c>
      <x:c r="J17" s="30" t="str">
        <x:v>Art.4(1);Art.7(1)(a)</x:v>
      </x:c>
      <x:c r="K17" s="30"/>
      <x:c r="L17" s="30" t="str">
        <x:v>low</x:v>
      </x:c>
      <x:c r="M17" s="30" t="n">
        <x:v>5</x:v>
      </x:c>
      <x:c r="N17" s="30" t="str">
        <x:v>乙住所和履行地均在意大利，意大利至少有一般管辖，并可能兼有合同履行地特别管辖；法国无已知连接点。</x:v>
      </x:c>
    </x:row>
    <x:row r="18" ht="78" customHeight="1">
      <x:c r="A18" s="13" t="n">
        <x:v>17</x:v>
      </x:c>
      <x:c r="B18" s="13" t="str">
        <x:v>C1-8B0E009BBE</x:v>
      </x:c>
      <x:c r="C18" s="13" t="str">
        <x:v>德注册甲 vs 法注册乙；争议为法国不动产所有权；甲在德国起诉乙，请求确认物权。</x:v>
      </x:c>
      <x:c r="D18" s="30" t="str">
        <x:v>Court_of_X_has_jurisdiction</x:v>
      </x:c>
      <x:c r="E18" s="30" t="str">
        <x:v>法国法院</x:v>
      </x:c>
      <x:c r="F18" s="30" t="str">
        <x:v>exclusive</x:v>
      </x:c>
      <x:c r="G18" s="30"/>
      <x:c r="H18" s="30" t="str">
        <x:v>no</x:v>
      </x:c>
      <x:c r="I18" s="30" t="str">
        <x:v>no</x:v>
      </x:c>
      <x:c r="J18" s="30" t="str">
        <x:v>Art.24(1);Art.27</x:v>
      </x:c>
      <x:c r="K18" s="30"/>
      <x:c r="L18" s="30" t="str">
        <x:v>low</x:v>
      </x:c>
      <x:c r="M18" s="30" t="n">
        <x:v>5</x:v>
      </x:c>
      <x:c r="N18" s="30" t="str">
        <x:v>公司注册地不影响不动产物权专属管辖；法国不动产所在地法院专属管辖。</x:v>
      </x:c>
    </x:row>
    <x:row r="19" ht="78" customHeight="1">
      <x:c r="A19" s="13" t="n">
        <x:v>18</x:v>
      </x:c>
      <x:c r="B19" s="13" t="str">
        <x:v>C1-2E2B84E0F9</x:v>
      </x:c>
      <x:c r="C19" s="13" t="str">
        <x:v>德国咨询公司甲与比利时公司乙签订服务合同，合同中书面约定布鲁塞尔法院享有专属管辖；后甲因服务费在布鲁塞尔起诉乙。</x:v>
      </x:c>
      <x:c r="D19" s="30" t="str">
        <x:v>Court_of_X_has_jurisdiction</x:v>
      </x:c>
      <x:c r="E19" s="30" t="str">
        <x:v>比利时布鲁塞尔法院</x:v>
      </x:c>
      <x:c r="F19" s="30" t="str">
        <x:v>agreement</x:v>
      </x:c>
      <x:c r="G19" s="30"/>
      <x:c r="H19" s="30" t="str">
        <x:v>no</x:v>
      </x:c>
      <x:c r="I19" s="30" t="str">
        <x:v>no</x:v>
      </x:c>
      <x:c r="J19" s="30" t="str">
        <x:v>Art.25(1)</x:v>
      </x:c>
      <x:c r="K19" s="30"/>
      <x:c r="L19" s="30" t="str">
        <x:v>low</x:v>
      </x:c>
      <x:c r="M19" s="30" t="n">
        <x:v>5</x:v>
      </x:c>
      <x:c r="N19" s="30" t="str">
        <x:v>书面专属选择布鲁塞尔法院的条款满足形式要求，且诉讼已在指定法院提起。</x:v>
      </x:c>
    </x:row>
    <x:row r="20" ht="78" customHeight="1">
      <x:c r="A20" s="13" t="n">
        <x:v>19</x:v>
      </x:c>
      <x:c r="B20" s="13" t="str">
        <x:v>C1-D071108F74</x:v>
      </x:c>
      <x:c r="C20" s="13" t="str">
        <x:v>法上午起诉，德当日稍晚起诉；认定先受理法院。</x:v>
      </x:c>
      <x:c r="D20" s="30" t="str">
        <x:v>Stay_for_first_seised</x:v>
      </x:c>
      <x:c r="E20" s="30" t="str">
        <x:v>法国法院（先受理）；德国法院中止</x:v>
      </x:c>
      <x:c r="F20" s="30" t="str">
        <x:v>lis_pendens</x:v>
      </x:c>
      <x:c r="G20" s="30"/>
      <x:c r="H20" s="30" t="str">
        <x:v>no</x:v>
      </x:c>
      <x:c r="I20" s="30" t="str">
        <x:v>yes</x:v>
      </x:c>
      <x:c r="J20" s="30" t="str">
        <x:v>Art.29(1);Art.32(1)</x:v>
      </x:c>
      <x:c r="K20" s="30" t="str">
        <x:v>法国原告未怠于完成送达等 Art.32 所要求的后续步骤。</x:v>
      </x:c>
      <x:c r="L20" s="30" t="str">
        <x:v>medium</x:v>
      </x:c>
      <x:c r="M20" s="30" t="n">
        <x:v>4</x:v>
      </x:c>
      <x:c r="N20" s="30" t="str">
        <x:v>按文书提交时间法国法院在先，同日并不消除先后顺序；德国法院应中止，但先受理时点仍受 Art.32 的送达步骤条件约束。</x:v>
      </x:c>
    </x:row>
    <x:row r="21" ht="78" customHeight="1">
      <x:c r="A21" s="13" t="n">
        <x:v>20</x:v>
      </x:c>
      <x:c r="B21" s="13" t="str">
        <x:v>C1-4B4B41C562</x:v>
      </x:c>
      <x:c r="C21" s="13" t="str">
        <x:v>西班牙公司甲与意大利公司乙就位于意大利的仓库所有权发生争议；甲在西班牙起诉请求确认对该不动产享有物权。</x:v>
      </x:c>
      <x:c r="D21" s="30" t="str">
        <x:v>Court_of_X_has_jurisdiction</x:v>
      </x:c>
      <x:c r="E21" s="30" t="str">
        <x:v>意大利法院</x:v>
      </x:c>
      <x:c r="F21" s="30" t="str">
        <x:v>exclusive</x:v>
      </x:c>
      <x:c r="G21" s="30"/>
      <x:c r="H21" s="30" t="str">
        <x:v>no</x:v>
      </x:c>
      <x:c r="I21" s="30" t="str">
        <x:v>no</x:v>
      </x:c>
      <x:c r="J21" s="30" t="str">
        <x:v>Art.24(1);Art.27</x:v>
      </x:c>
      <x:c r="K21" s="30"/>
      <x:c r="L21" s="30" t="str">
        <x:v>low</x:v>
      </x:c>
      <x:c r="M21" s="30" t="n">
        <x:v>5</x:v>
      </x:c>
      <x:c r="N21" s="30" t="str">
        <x:v>仓库所有权为不动产物权争议，只能由意大利所在地法院审理。</x:v>
      </x:c>
    </x:row>
    <x:row r="22" ht="78" customHeight="1">
      <x:c r="A22" s="13" t="n">
        <x:v>21</x:v>
      </x:c>
      <x:c r="B22" s="13" t="str">
        <x:v>C1-DC4A0A0FA1</x:v>
      </x:c>
      <x:c r="C22" s="13" t="str">
        <x:v>丙公司依荷兰法设立，法定席位在阿姆斯特丹；股东乙在法国起诉，请求撤销股东大会关于解任董事的决议。</x:v>
      </x:c>
      <x:c r="D22" s="30" t="str">
        <x:v>Court_of_X_has_jurisdiction</x:v>
      </x:c>
      <x:c r="E22" s="30" t="str">
        <x:v>荷兰法院</x:v>
      </x:c>
      <x:c r="F22" s="30" t="str">
        <x:v>exclusive</x:v>
      </x:c>
      <x:c r="G22" s="30"/>
      <x:c r="H22" s="30" t="str">
        <x:v>no</x:v>
      </x:c>
      <x:c r="I22" s="30" t="str">
        <x:v>no</x:v>
      </x:c>
      <x:c r="J22" s="30" t="str">
        <x:v>Art.24(2);Art.27</x:v>
      </x:c>
      <x:c r="K22" s="30"/>
      <x:c r="L22" s="30" t="str">
        <x:v>low</x:v>
      </x:c>
      <x:c r="M22" s="30" t="n">
        <x:v>5</x:v>
      </x:c>
      <x:c r="N22" s="30" t="str">
        <x:v>诉请撤销荷兰公司股东大会决议，属于公司机关决议有效性争议，由公司席位所在地荷兰法院专属管辖。</x:v>
      </x:c>
    </x:row>
    <x:row r="23" ht="78" customHeight="1">
      <x:c r="A23" s="13" t="n">
        <x:v>22</x:v>
      </x:c>
      <x:c r="B23" s="13" t="str">
        <x:v>C1-58001C0F5E</x:v>
      </x:c>
      <x:c r="C23" s="13" t="str">
        <x:v>西班牙卖方甲与意大利买方乙通过电话达成买卖合同，甲主张双方曾口头同意由维也纳法院管辖，乙否认，合同文本中未载明该条款。</x:v>
      </x:c>
      <x:c r="D23" s="30" t="str">
        <x:v>Abstain_Insufficient_Info</x:v>
      </x:c>
      <x:c r="E23" s="30" t="str">
        <x:v>none</x:v>
      </x:c>
      <x:c r="F23" s="30" t="str">
        <x:v>none</x:v>
      </x:c>
      <x:c r="G23" s="30"/>
      <x:c r="H23" s="30" t="str">
        <x:v>yes</x:v>
      </x:c>
      <x:c r="I23" s="30" t="str">
        <x:v>yes</x:v>
      </x:c>
      <x:c r="J23" s="30" t="str">
        <x:v>Art.25(1)</x:v>
      </x:c>
      <x:c r="K23" s="30" t="str">
        <x:v>缺少能证明双方真实同意及符合 Art.25(1)(a)-(c) 形式的材料，也缺少被告住所、履行地和受诉法院。</x:v>
      </x:c>
      <x:c r="L23" s="30" t="str">
        <x:v>high</x:v>
      </x:c>
      <x:c r="M23" s="30" t="n">
        <x:v>5</x:v>
      </x:c>
      <x:c r="N23" s="30" t="str">
        <x:v>被否认且未书面记载的口头选择法院约定不能在现有事实下成立；其他管辖基础亦无法确定。</x:v>
      </x:c>
    </x:row>
    <x:row r="24" ht="78" customHeight="1">
      <x:c r="A24" s="13" t="n">
        <x:v>23</x:v>
      </x:c>
      <x:c r="B24" s="13" t="str">
        <x:v>C1-77062845C2</x:v>
      </x:c>
      <x:c r="C24" s="13" t="str">
        <x:v>延续上案，乙仅为提出管辖异议而出庭。</x:v>
      </x:c>
      <x:c r="D24" s="30" t="str">
        <x:v>Abstain_Insufficient_Info</x:v>
      </x:c>
      <x:c r="E24" s="30" t="str">
        <x:v>none</x:v>
      </x:c>
      <x:c r="F24" s="30" t="str">
        <x:v>none</x:v>
      </x:c>
      <x:c r="G24" s="30"/>
      <x:c r="H24" s="30" t="str">
        <x:v>yes</x:v>
      </x:c>
      <x:c r="I24" s="30" t="str">
        <x:v>yes</x:v>
      </x:c>
      <x:c r="J24" s="30" t="str">
        <x:v>Art.26(1)</x:v>
      </x:c>
      <x:c r="K24" s="30" t="str">
        <x:v>本行不得从上一案继受当事人、合同或受诉法院事实；缺少完整争议与其他连接点。</x:v>
      </x:c>
      <x:c r="L24" s="30" t="str">
        <x:v>high</x:v>
      </x:c>
      <x:c r="M24" s="30" t="n">
        <x:v>5</x:v>
      </x:c>
      <x:c r="N24" s="30" t="str">
        <x:v>仅为提出管辖异议而出庭不会产生应诉管辖；但本行其余事实不足，不能确定应由何法院审理。</x:v>
      </x:c>
    </x:row>
    <x:row r="25" ht="78" customHeight="1">
      <x:c r="A25" s="13" t="n">
        <x:v>24</x:v>
      </x:c>
      <x:c r="B25" s="13" t="str">
        <x:v>C1-C585DCD17A</x:v>
      </x:c>
      <x:c r="C25" s="13" t="str">
        <x:v>甲在葡萄牙法院起诉德国被告乙，案件与葡萄牙并无连接点；乙仅为提出管辖异议而出庭，未就实体进行答辩。</x:v>
      </x:c>
      <x:c r="D25" s="30" t="str">
        <x:v>Court_of_X_has_jurisdiction</x:v>
      </x:c>
      <x:c r="E25" s="30" t="str">
        <x:v>德国法院（以乙住所德国为条件）</x:v>
      </x:c>
      <x:c r="F25" s="30" t="str">
        <x:v>general</x:v>
      </x:c>
      <x:c r="G25" s="30"/>
      <x:c r="H25" s="30" t="str">
        <x:v>yes</x:v>
      </x:c>
      <x:c r="I25" s="30" t="str">
        <x:v>yes</x:v>
      </x:c>
      <x:c r="J25" s="30" t="str">
        <x:v>Art.4(1);Art.26(1)</x:v>
      </x:c>
      <x:c r="K25" s="30" t="str">
        <x:v>“德国被告”须指乙在德国有住所，而非仅具有德国国籍。</x:v>
      </x:c>
      <x:c r="L25" s="30" t="str">
        <x:v>medium</x:v>
      </x:c>
      <x:c r="M25" s="30" t="n">
        <x:v>4</x:v>
      </x:c>
      <x:c r="N25" s="30" t="str">
        <x:v>仅为管辖异议出庭不使葡萄牙法院取得应诉管辖；若乙住所确在德国，一般管辖属于德国法院。</x:v>
      </x:c>
    </x:row>
    <x:row r="26" ht="78" customHeight="1">
      <x:c r="A26" s="13" t="n">
        <x:v>25</x:v>
      </x:c>
      <x:c r="B26" s="13" t="str">
        <x:v>C1-1336AB6661</x:v>
      </x:c>
      <x:c r="C26" s="13" t="str">
        <x:v>乙公司依意大利法设立；股东甲在德国起诉，请求宣告股东大会增资决议无效。</x:v>
      </x:c>
      <x:c r="D26" s="30" t="str">
        <x:v>Abstain_Insufficient_Info</x:v>
      </x:c>
      <x:c r="E26" s="30" t="str">
        <x:v>none</x:v>
      </x:c>
      <x:c r="F26" s="30" t="str">
        <x:v>none</x:v>
      </x:c>
      <x:c r="G26" s="30"/>
      <x:c r="H26" s="30" t="str">
        <x:v>yes</x:v>
      </x:c>
      <x:c r="I26" s="30" t="str">
        <x:v>yes</x:v>
      </x:c>
      <x:c r="J26" s="30" t="str">
        <x:v>Art.24(2);Art.27</x:v>
      </x:c>
      <x:c r="K26" s="30" t="str">
        <x:v>缺少公司在 Art.24(2) 意义上的 seat（应由受诉法院依其国际私法规则确定）；仅知依意大利法设立不足以在所有情形下确定该连接点。</x:v>
      </x:c>
      <x:c r="L26" s="30" t="str">
        <x:v>high</x:v>
      </x:c>
      <x:c r="M26" s="30" t="n">
        <x:v>5</x:v>
      </x:c>
      <x:c r="N26" s="30" t="str">
        <x:v>撤销股东大会增资决议属于公司机关决议有效性争议，但专属管辖连接点是公司的 seat，而不是单纯的设立准据法。现有事实不足以可靠指定意大利法院。</x:v>
      </x:c>
    </x:row>
    <x:row r="27" ht="78" customHeight="1">
      <x:c r="A27" s="13" t="n">
        <x:v>26</x:v>
      </x:c>
      <x:c r="B27" s="13" t="str">
        <x:v>C1-BB399E9CB4</x:v>
      </x:c>
      <x:c r="C27" s="13" t="str">
        <x:v>乙为意大利居民，与甲在意大利发生纠纷；甲却在葡萄牙起诉乙，案件与葡萄牙并无任何连接因素。</x:v>
      </x:c>
      <x:c r="D27" s="30" t="str">
        <x:v>Court_of_X_has_jurisdiction</x:v>
      </x:c>
      <x:c r="E27" s="30" t="str">
        <x:v>意大利法院</x:v>
      </x:c>
      <x:c r="F27" s="30" t="str">
        <x:v>general</x:v>
      </x:c>
      <x:c r="G27" s="30"/>
      <x:c r="H27" s="30" t="str">
        <x:v>no</x:v>
      </x:c>
      <x:c r="I27" s="30" t="str">
        <x:v>no</x:v>
      </x:c>
      <x:c r="J27" s="30" t="str">
        <x:v>Art.4(1)</x:v>
      </x:c>
      <x:c r="K27" s="30"/>
      <x:c r="L27" s="30" t="str">
        <x:v>low</x:v>
      </x:c>
      <x:c r="M27" s="30" t="n">
        <x:v>5</x:v>
      </x:c>
      <x:c r="N27" s="30" t="str">
        <x:v>乙住所位于意大利，且葡萄牙无任何连接因素；意大利法院依一般管辖受理。</x:v>
      </x:c>
    </x:row>
    <x:row r="28" ht="78" customHeight="1">
      <x:c r="A28" s="13" t="n">
        <x:v>27</x:v>
      </x:c>
      <x:c r="B28" s="13" t="str">
        <x:v>C1-D0624595B3</x:v>
      </x:c>
      <x:c r="C28" s="13" t="str">
        <x:v>乙公司在英国注册，主要管理总部在德国；甲（法国）欲起诉乙。</x:v>
      </x:c>
      <x:c r="D28" s="30" t="str">
        <x:v>Court_of_X_has_jurisdiction</x:v>
      </x:c>
      <x:c r="E28" s="30" t="str">
        <x:v>德国法院</x:v>
      </x:c>
      <x:c r="F28" s="30" t="str">
        <x:v>general</x:v>
      </x:c>
      <x:c r="G28" s="30"/>
      <x:c r="H28" s="30" t="str">
        <x:v>no</x:v>
      </x:c>
      <x:c r="I28" s="30" t="str">
        <x:v>no</x:v>
      </x:c>
      <x:c r="J28" s="30" t="str">
        <x:v>Art.4(1);Art.63(1)(b)</x:v>
      </x:c>
      <x:c r="K28" s="30"/>
      <x:c r="L28" s="30" t="str">
        <x:v>low</x:v>
      </x:c>
      <x:c r="M28" s="30" t="n">
        <x:v>5</x:v>
      </x:c>
      <x:c r="N28" s="30" t="str">
        <x:v>公司中央管理机构在德国即构成该条例意义上的公司住所，德国法院可依一般管辖受理；英国注册并不排除德国住所。</x:v>
      </x:c>
    </x:row>
    <x:row r="29" ht="78" customHeight="1">
      <x:c r="A29" s="13" t="n">
        <x:v>28</x:v>
      </x:c>
      <x:c r="B29" s="13" t="str">
        <x:v>C1-EFE89E257E</x:v>
      </x:c>
      <x:c r="C29" s="13" t="str">
        <x:v>跨国公司乙在德国注册，但中央管理机构位于法国，同时在西班牙设主要营业地；甲就一般债务在法国起诉乙。</x:v>
      </x:c>
      <x:c r="D29" s="30" t="str">
        <x:v>Court_of_X_has_jurisdiction</x:v>
      </x:c>
      <x:c r="E29" s="30" t="str">
        <x:v>法国法院</x:v>
      </x:c>
      <x:c r="F29" s="30" t="str">
        <x:v>general</x:v>
      </x:c>
      <x:c r="G29" s="30"/>
      <x:c r="H29" s="30" t="str">
        <x:v>no</x:v>
      </x:c>
      <x:c r="I29" s="30" t="str">
        <x:v>no</x:v>
      </x:c>
      <x:c r="J29" s="30" t="str">
        <x:v>Art.4(1);Art.63(1)(a)-(c)</x:v>
      </x:c>
      <x:c r="K29" s="30"/>
      <x:c r="L29" s="30" t="str">
        <x:v>low</x:v>
      </x:c>
      <x:c r="M29" s="30" t="n">
        <x:v>5</x:v>
      </x:c>
      <x:c r="N29" s="30" t="str">
        <x:v>公司可同时在法定席位、中央管理机构和主要营业地被视为有住所；中央管理机构在法国足以支持法国的一般管辖。</x:v>
      </x:c>
    </x:row>
    <x:row r="30" ht="78" customHeight="1">
      <x:c r="A30" s="13" t="n">
        <x:v>29</x:v>
      </x:c>
      <x:c r="B30" s="13" t="str">
        <x:v>C1-2F95C95EBC</x:v>
      </x:c>
      <x:c r="C30" s="13" t="str">
        <x:v>德国法院受理企业商家甲诉法国消费者乙的消费合同纠纷；乙在收到起诉状时被书面告知有权对管辖提出异议及其后果，仍到庭就实体进行答辩。</x:v>
      </x:c>
      <x:c r="D30" s="30" t="str">
        <x:v>Court_of_X_has_jurisdiction</x:v>
      </x:c>
      <x:c r="E30" s="30" t="str">
        <x:v>德国法院</x:v>
      </x:c>
      <x:c r="F30" s="30" t="str">
        <x:v>appearance</x:v>
      </x:c>
      <x:c r="G30" s="30"/>
      <x:c r="H30" s="30" t="str">
        <x:v>no</x:v>
      </x:c>
      <x:c r="I30" s="30" t="str">
        <x:v>no</x:v>
      </x:c>
      <x:c r="J30" s="30" t="str">
        <x:v>Art.18(2);Art.26(1)-(2)</x:v>
      </x:c>
      <x:c r="K30" s="30"/>
      <x:c r="L30" s="30" t="str">
        <x:v>low</x:v>
      </x:c>
      <x:c r="M30" s="30" t="n">
        <x:v>5</x:v>
      </x:c>
      <x:c r="N30" s="30" t="str">
        <x:v>消费者被明确告知异议权及后果后仍就实体答辩，德国法院可依应诉取得管辖；否则商家本应仅在消费者住所地起诉。</x:v>
      </x:c>
    </x:row>
    <x:row r="31" ht="78" customHeight="1">
      <x:c r="A31" s="13" t="n">
        <x:v>30</x:v>
      </x:c>
      <x:c r="B31" s="13" t="str">
        <x:v>C1-D0757EBF6D</x:v>
      </x:c>
      <x:c r="C31" s="13" t="str">
        <x:v>德国法院受理关于法国不动产物权的争议，乙出庭并对实体答辩未提管辖异议。</x:v>
      </x:c>
      <x:c r="D31" s="30" t="str">
        <x:v>Court_of_X_has_jurisdiction</x:v>
      </x:c>
      <x:c r="E31" s="30" t="str">
        <x:v>法国法院</x:v>
      </x:c>
      <x:c r="F31" s="30" t="str">
        <x:v>exclusive</x:v>
      </x:c>
      <x:c r="G31" s="30"/>
      <x:c r="H31" s="30" t="str">
        <x:v>no</x:v>
      </x:c>
      <x:c r="I31" s="30" t="str">
        <x:v>no</x:v>
      </x:c>
      <x:c r="J31" s="30" t="str">
        <x:v>Art.24(1);Art.26(1);Art.27</x:v>
      </x:c>
      <x:c r="K31" s="30"/>
      <x:c r="L31" s="30" t="str">
        <x:v>low</x:v>
      </x:c>
      <x:c r="M31" s="30" t="n">
        <x:v>5</x:v>
      </x:c>
      <x:c r="N31" s="30" t="str">
        <x:v>法国不动产物权争议受 Art.24(1) 专属管辖，应诉不能治愈德国法院的管辖欠缺。</x:v>
      </x:c>
    </x:row>
    <x:row r="32" ht="78" customHeight="1">
      <x:c r="A32" s="13" t="n">
        <x:v>31</x:v>
      </x:c>
      <x:c r="B32" s="13" t="str">
        <x:v>C1-155885A908</x:v>
      </x:c>
      <x:c r="C32" s="13" t="str">
        <x:v>西班牙法院受理法国不动产物权纠纷；乙出庭未异议。</x:v>
      </x:c>
      <x:c r="D32" s="30" t="str">
        <x:v>Court_of_X_has_jurisdiction</x:v>
      </x:c>
      <x:c r="E32" s="30" t="str">
        <x:v>法国法院</x:v>
      </x:c>
      <x:c r="F32" s="30" t="str">
        <x:v>exclusive</x:v>
      </x:c>
      <x:c r="G32" s="30"/>
      <x:c r="H32" s="30" t="str">
        <x:v>no</x:v>
      </x:c>
      <x:c r="I32" s="30" t="str">
        <x:v>no</x:v>
      </x:c>
      <x:c r="J32" s="30" t="str">
        <x:v>Art.24(1);Art.26(1);Art.27</x:v>
      </x:c>
      <x:c r="K32" s="30"/>
      <x:c r="L32" s="30" t="str">
        <x:v>low</x:v>
      </x:c>
      <x:c r="M32" s="30" t="n">
        <x:v>5</x:v>
      </x:c>
      <x:c r="N32" s="30" t="str">
        <x:v>即使乙未异议，西班牙法院也不能以应诉排除法国不动产所在地的专属管辖。</x:v>
      </x:c>
    </x:row>
    <x:row r="33" ht="78" customHeight="1">
      <x:c r="A33" s="13" t="n">
        <x:v>32</x:v>
      </x:c>
      <x:c r="B33" s="13" t="str">
        <x:v>C1-43B1941D98</x:v>
      </x:c>
      <x:c r="C33" s="13" t="str">
        <x:v>西班牙不动产买卖；合同约定德国法院；乙在德国起诉确认物权。</x:v>
      </x:c>
      <x:c r="D33" s="30" t="str">
        <x:v>Court_of_X_has_jurisdiction</x:v>
      </x:c>
      <x:c r="E33" s="30" t="str">
        <x:v>西班牙法院</x:v>
      </x:c>
      <x:c r="F33" s="30" t="str">
        <x:v>exclusive</x:v>
      </x:c>
      <x:c r="G33" s="30"/>
      <x:c r="H33" s="30" t="str">
        <x:v>no</x:v>
      </x:c>
      <x:c r="I33" s="30" t="str">
        <x:v>no</x:v>
      </x:c>
      <x:c r="J33" s="30" t="str">
        <x:v>Art.24(1);Art.25(4);Art.27</x:v>
      </x:c>
      <x:c r="K33" s="30"/>
      <x:c r="L33" s="30" t="str">
        <x:v>low</x:v>
      </x:c>
      <x:c r="M33" s="30" t="n">
        <x:v>5</x:v>
      </x:c>
      <x:c r="N33" s="30" t="str">
        <x:v>确认西班牙不动产物权的请求由西班牙法院专属管辖，德国选择法院条款不能排除 Art.24。</x:v>
      </x:c>
    </x:row>
    <x:row r="34" ht="78" customHeight="1">
      <x:c r="A34" s="13" t="n">
        <x:v>33</x:v>
      </x:c>
      <x:c r="B34" s="13" t="str">
        <x:v>C1-5A19B9CD02</x:v>
      </x:c>
      <x:c r="C34" s="13" t="str">
        <x:v>葡萄牙甲与爱尔兰乙在服务合同中约定“都柏林法院有管辖权”，未注明专属；合同以书面形式订立。甲就服务报酬在都柏林起诉乙。</x:v>
      </x:c>
      <x:c r="D34" s="30" t="str">
        <x:v>Court_of_X_has_jurisdiction</x:v>
      </x:c>
      <x:c r="E34" s="30" t="str">
        <x:v>爱尔兰都柏林法院</x:v>
      </x:c>
      <x:c r="F34" s="30" t="str">
        <x:v>agreement</x:v>
      </x:c>
      <x:c r="G34" s="30"/>
      <x:c r="H34" s="30" t="str">
        <x:v>no</x:v>
      </x:c>
      <x:c r="I34" s="30" t="str">
        <x:v>no</x:v>
      </x:c>
      <x:c r="J34" s="30" t="str">
        <x:v>Art.25(1)</x:v>
      </x:c>
      <x:c r="K34" s="30"/>
      <x:c r="L34" s="30" t="str">
        <x:v>low</x:v>
      </x:c>
      <x:c r="M34" s="30" t="n">
        <x:v>5</x:v>
      </x:c>
      <x:c r="N34" s="30" t="str">
        <x:v>书面条款明确授予都柏林法院管辖；即使未写明“专属”，Art.25(1) 仍推定协议管辖为专属，除非当事人另有约定。</x:v>
      </x:c>
    </x:row>
    <x:row r="35" ht="78" customHeight="1">
      <x:c r="A35" s="13" t="n">
        <x:v>34</x:v>
      </x:c>
      <x:c r="B35" s="13" t="str">
        <x:v>C1-50A852035B</x:v>
      </x:c>
      <x:c r="C35" s="13" t="str">
        <x:v>德法院受理消费者合同争议；消费者乙（法籍）到庭未异议。</x:v>
      </x:c>
      <x:c r="D35" s="30" t="str">
        <x:v>Abstain_Insufficient_Info</x:v>
      </x:c>
      <x:c r="E35" s="30" t="str">
        <x:v>none</x:v>
      </x:c>
      <x:c r="F35" s="30" t="str">
        <x:v>none</x:v>
      </x:c>
      <x:c r="G35" s="30"/>
      <x:c r="H35" s="30" t="str">
        <x:v>yes</x:v>
      </x:c>
      <x:c r="I35" s="30" t="str">
        <x:v>yes</x:v>
      </x:c>
      <x:c r="J35" s="30" t="str">
        <x:v>Art.18(2);Art.26(2)</x:v>
      </x:c>
      <x:c r="K35" s="30" t="str">
        <x:v>缺少消费者住所及法院是否履行 Art.26(2) 告知义务；法国国籍本身不能替代住所。</x:v>
      </x:c>
      <x:c r="L35" s="30" t="str">
        <x:v>high</x:v>
      </x:c>
      <x:c r="M35" s="30" t="n">
        <x:v>5</x:v>
      </x:c>
      <x:c r="N35" s="30" t="str">
        <x:v>受保护消费者为被告时，未异议不足以自动产生应诉管辖；法院须先确保其获告知异议权及后果。</x:v>
      </x:c>
    </x:row>
    <x:row r="36" ht="78" customHeight="1">
      <x:c r="A36" s="13" t="n">
        <x:v>35</x:v>
      </x:c>
      <x:c r="B36" s="13" t="str">
        <x:v>C1-C468156657</x:v>
      </x:c>
      <x:c r="C36" s="13" t="str">
        <x:v>英甲与德乙合同约定英国法院专属；乙先在德国提消极确认之诉，甲后在英国起诉。</x:v>
      </x:c>
      <x:c r="D36" s="30" t="str">
        <x:v>Abstain_Insufficient_Info</x:v>
      </x:c>
      <x:c r="E36" s="30" t="str">
        <x:v>none</x:v>
      </x:c>
      <x:c r="F36" s="30" t="str">
        <x:v>none</x:v>
      </x:c>
      <x:c r="G36" s="30"/>
      <x:c r="H36" s="30" t="str">
        <x:v>yes</x:v>
      </x:c>
      <x:c r="I36" s="30" t="str">
        <x:v>yes</x:v>
      </x:c>
      <x:c r="J36" s="30" t="str">
        <x:v>Art.25(1);Art.31(2)-(3);Withdrawal Agreement Art.67(1)(a)</x:v>
      </x:c>
      <x:c r="K36" s="30" t="str">
        <x:v>缺少诉讼受理日期及英国法院选择条款的形式、实体有效性；须判断是否属于 2020-12-31 前启动的过渡案件。</x:v>
      </x:c>
      <x:c r="L36" s="30" t="str">
        <x:v>high</x:v>
      </x:c>
      <x:c r="M36" s="30" t="n">
        <x:v>5</x:v>
      </x:c>
      <x:c r="N36" s="30" t="str">
        <x:v>若属退出过渡期覆盖且条款有效，英国指定法院受理可触发 Art.31(2)；若为其后案件，英国并非该条所称成员国法院。</x:v>
      </x:c>
    </x:row>
    <x:row r="37" ht="78" customHeight="1">
      <x:c r="A37" s="13" t="n">
        <x:v>36</x:v>
      </x:c>
      <x:c r="B37" s="13" t="str">
        <x:v>C1-84ECCAD468</x:v>
      </x:c>
      <x:c r="C37" s="13" t="str">
        <x:v>乙原为西班牙居民，近期搬离但未明确新的长期居住地；甲希望在西班牙起诉乙索要借款。</x:v>
      </x:c>
      <x:c r="D37" s="30" t="str">
        <x:v>Abstain_Insufficient_Info</x:v>
      </x:c>
      <x:c r="E37" s="30" t="str">
        <x:v>none</x:v>
      </x:c>
      <x:c r="F37" s="30" t="str">
        <x:v>none</x:v>
      </x:c>
      <x:c r="G37" s="30"/>
      <x:c r="H37" s="30" t="str">
        <x:v>yes</x:v>
      </x:c>
      <x:c r="I37" s="30" t="str">
        <x:v>yes</x:v>
      </x:c>
      <x:c r="J37" s="30" t="str">
        <x:v>Art.4(1);Art.6(1);Art.62(1)-(2)</x:v>
      </x:c>
      <x:c r="K37" s="30" t="str">
        <x:v>须依西班牙法及可能的新住所国法确定乙在起诉时的法律住所。</x:v>
      </x:c>
      <x:c r="L37" s="30" t="str">
        <x:v>high</x:v>
      </x:c>
      <x:c r="M37" s="30" t="n">
        <x:v>5</x:v>
      </x:c>
      <x:c r="N37" s="30" t="str">
        <x:v>近期迁离而新住所不明使一般管辖连接点无法确定；国籍或过去住所不能替代起诉时住所。</x:v>
      </x:c>
    </x:row>
    <x:row r="38" ht="78" customHeight="1">
      <x:c r="A38" s="13" t="n">
        <x:v>37</x:v>
      </x:c>
      <x:c r="B38" s="13" t="str">
        <x:v>C1-106302E2CC</x:v>
      </x:c>
      <x:c r="C38" s="13" t="str">
        <x:v>德国卖方甲向比利时买方乙出售机器，约定交货地在安特卫普；乙主张迟延交货，在比利时起诉甲。</x:v>
      </x:c>
      <x:c r="D38" s="30" t="str">
        <x:v>Court_of_X_has_jurisdiction</x:v>
      </x:c>
      <x:c r="E38" s="30" t="str">
        <x:v>比利时安特卫普法院</x:v>
      </x:c>
      <x:c r="F38" s="30" t="str">
        <x:v>special</x:v>
      </x:c>
      <x:c r="G38" s="30" t="str">
        <x:v>general</x:v>
      </x:c>
      <x:c r="H38" s="30" t="str">
        <x:v>no</x:v>
      </x:c>
      <x:c r="I38" s="30" t="str">
        <x:v>no</x:v>
      </x:c>
      <x:c r="J38" s="30" t="str">
        <x:v>Art.7(1)(b);Art.4(1)</x:v>
      </x:c>
      <x:c r="K38" s="30"/>
      <x:c r="L38" s="30" t="str">
        <x:v>low</x:v>
      </x:c>
      <x:c r="M38" s="30" t="n">
        <x:v>5</x:v>
      </x:c>
      <x:c r="N38" s="30" t="str">
        <x:v>机器应在安特卫普交付，迟延交货争议可在比利时履行地起诉；德国住所地一般管辖亦存在。</x:v>
      </x:c>
    </x:row>
    <x:row r="39" ht="78" customHeight="1">
      <x:c r="A39" s="13" t="n">
        <x:v>38</x:v>
      </x:c>
      <x:c r="B39" s="13" t="str">
        <x:v>C1-B1EE7B0341</x:v>
      </x:c>
      <x:c r="C39" s="13" t="str">
        <x:v>法国和意大利法院几乎同时收到同一当事人就同一合同提起的诉讼，法国法院早数小时登记立案。</x:v>
      </x:c>
      <x:c r="D39" s="30" t="str">
        <x:v>Stay_for_first_seised</x:v>
      </x:c>
      <x:c r="E39" s="30" t="str">
        <x:v>法国法院（条件性先受理）；意大利法院中止</x:v>
      </x:c>
      <x:c r="F39" s="30" t="str">
        <x:v>lis_pendens</x:v>
      </x:c>
      <x:c r="G39" s="30"/>
      <x:c r="H39" s="30" t="str">
        <x:v>yes</x:v>
      </x:c>
      <x:c r="I39" s="30" t="str">
        <x:v>yes</x:v>
      </x:c>
      <x:c r="J39" s="30" t="str">
        <x:v>Art.29(1);Art.32(1)</x:v>
      </x:c>
      <x:c r="K39" s="30" t="str">
        <x:v>须确认法国较早的登记时间确实对应文书较早提交，并满足后续送达步骤。</x:v>
      </x:c>
      <x:c r="L39" s="30" t="str">
        <x:v>medium</x:v>
      </x:c>
      <x:c r="M39" s="30" t="n">
        <x:v>4</x:v>
      </x:c>
      <x:c r="N39" s="30" t="str">
        <x:v>Art.32 以提交或送达机关收件时点为准，而非抽象的“几乎同时”；若法国记录对应较早提交，意大利法院应中止。</x:v>
      </x:c>
    </x:row>
    <x:row r="40" ht="78" customHeight="1">
      <x:c r="A40" s="13" t="n">
        <x:v>39</x:v>
      </x:c>
      <x:c r="B40" s="13" t="str">
        <x:v>C1-CA5F6D7E45</x:v>
      </x:c>
      <x:c r="C40" s="13" t="str">
        <x:v>奥地利法院先受理甲对乙的合同之诉，后因缺乏连接点裁定无管辖并驳回；此前不久，比利时法院已就同一合同起诉立案。</x:v>
      </x:c>
      <x:c r="D40" s="30" t="str">
        <x:v>Abstain_Insufficient_Info</x:v>
      </x:c>
      <x:c r="E40" s="30" t="str">
        <x:v>none</x:v>
      </x:c>
      <x:c r="F40" s="30" t="str">
        <x:v>none</x:v>
      </x:c>
      <x:c r="G40" s="30"/>
      <x:c r="H40" s="30" t="str">
        <x:v>yes</x:v>
      </x:c>
      <x:c r="I40" s="30" t="str">
        <x:v>yes</x:v>
      </x:c>
      <x:c r="J40" s="30" t="str">
        <x:v>Art.29(1);Art.29(3)</x:v>
      </x:c>
      <x:c r="K40" s="30" t="str">
        <x:v>缺少比利时法院自身管辖基础，以及奥地利法院无管辖权裁定是否已使先受理程序障碍完全消失的程序状态。</x:v>
      </x:c>
      <x:c r="L40" s="30" t="str">
        <x:v>high</x:v>
      </x:c>
      <x:c r="M40" s="30" t="n">
        <x:v>4</x:v>
      </x:c>
      <x:c r="N40" s="30" t="str">
        <x:v>奥地利先受理法院否认管辖，只说明 Art.29 的 lis pendens 中止理由可不再阻碍比利时程序；并不因此自动产生比利时法院管辖权，需另有 Art.4、Art.7、Art.25 等独立依据。</x:v>
      </x:c>
    </x:row>
    <x:row r="41" ht="78" customHeight="1">
      <x:c r="A41" s="13" t="n">
        <x:v>40</x:v>
      </x:c>
      <x:c r="B41" s="13" t="str">
        <x:v>C1-52CA2C9B06</x:v>
      </x:c>
      <x:c r="C41" s="13" t="str">
        <x:v>法公司 vs 意大利顾问；服务主要在法国提供；主张未适当履行。</x:v>
      </x:c>
      <x:c r="D41" s="30" t="str">
        <x:v>Court_of_X_has_jurisdiction</x:v>
      </x:c>
      <x:c r="E41" s="30" t="str">
        <x:v>法国法院</x:v>
      </x:c>
      <x:c r="F41" s="30" t="str">
        <x:v>special</x:v>
      </x:c>
      <x:c r="G41" s="30" t="str">
        <x:v>general</x:v>
      </x:c>
      <x:c r="H41" s="30" t="str">
        <x:v>no</x:v>
      </x:c>
      <x:c r="I41" s="30" t="str">
        <x:v>no</x:v>
      </x:c>
      <x:c r="J41" s="30" t="str">
        <x:v>Art.7(1)(b);Art.4(1)</x:v>
      </x:c>
      <x:c r="K41" s="30"/>
      <x:c r="L41" s="30" t="str">
        <x:v>low</x:v>
      </x:c>
      <x:c r="M41" s="30" t="n">
        <x:v>5</x:v>
      </x:c>
      <x:c r="N41" s="30" t="str">
        <x:v>咨询服务主要在法国提供，法国为服务履行地；意大利顾问住所地的一般管辖也可成立。</x:v>
      </x:c>
    </x:row>
    <x:row r="42" ht="78" customHeight="1">
      <x:c r="A42" s="13" t="n">
        <x:v>41</x:v>
      </x:c>
      <x:c r="B42" s="13" t="str">
        <x:v>C1-AE2853C1A2</x:v>
      </x:c>
      <x:c r="C42" s="13" t="str">
        <x:v>捷克不动产登记簿记载丙为所有人；丁主张登记错误，在德国起诉请求变更捷克登记簿记载。</x:v>
      </x:c>
      <x:c r="D42" s="30" t="str">
        <x:v>Court_of_X_has_jurisdiction</x:v>
      </x:c>
      <x:c r="E42" s="30" t="str">
        <x:v>捷克法院</x:v>
      </x:c>
      <x:c r="F42" s="30" t="str">
        <x:v>exclusive</x:v>
      </x:c>
      <x:c r="G42" s="30"/>
      <x:c r="H42" s="30" t="str">
        <x:v>no</x:v>
      </x:c>
      <x:c r="I42" s="30" t="str">
        <x:v>no</x:v>
      </x:c>
      <x:c r="J42" s="30" t="str">
        <x:v>Art.24(1);Art.27</x:v>
      </x:c>
      <x:c r="K42" s="30"/>
      <x:c r="L42" s="30" t="str">
        <x:v>low</x:v>
      </x:c>
      <x:c r="M42" s="30" t="n">
        <x:v>5</x:v>
      </x:c>
      <x:c r="N42" s="30" t="str">
        <x:v>请求直接要求更正捷克不动产登记中体现所有权的记载，属于 Art.24(1) 的不动产物权专属管辖；德国法院应依 Art.27 依职权否认管辖。参见 C-417/15, Schmidt。</x:v>
      </x:c>
    </x:row>
    <x:row r="43" ht="78" customHeight="1">
      <x:c r="A43" s="13" t="n">
        <x:v>42</x:v>
      </x:c>
      <x:c r="B43" s="13" t="str">
        <x:v>C1-01093C62FE</x:v>
      </x:c>
      <x:c r="C43" s="13" t="str">
        <x:v>英起诉侵权欺诈；法起诉合同付款；同交易背景不同请求。</x:v>
      </x:c>
      <x:c r="D43" s="30" t="str">
        <x:v>Abstain_Insufficient_Info</x:v>
      </x:c>
      <x:c r="E43" s="30" t="str">
        <x:v>none</x:v>
      </x:c>
      <x:c r="F43" s="30" t="str">
        <x:v>none</x:v>
      </x:c>
      <x:c r="G43" s="30"/>
      <x:c r="H43" s="30" t="str">
        <x:v>yes</x:v>
      </x:c>
      <x:c r="I43" s="30" t="str">
        <x:v>yes</x:v>
      </x:c>
      <x:c r="J43" s="30" t="str">
        <x:v>Art.30;Art.34;Withdrawal Agreement Art.67(1)(a)</x:v>
      </x:c>
      <x:c r="K43" s="30" t="str">
        <x:v>缺少两案当事人关系、不可调和判决风险、法国法院自身管辖基础及英国诉讼的受理日期。</x:v>
      </x:c>
      <x:c r="L43" s="30" t="str">
        <x:v>high</x:v>
      </x:c>
      <x:c r="M43" s="30" t="n">
        <x:v>4</x:v>
      </x:c>
      <x:c r="N43" s="30" t="str">
        <x:v>侵权欺诈与合同付款并非当然同一诉因；英国为第三国时应审查 Art.34，而过渡期案件才可能适用成员国间的 Art.30。</x:v>
      </x:c>
    </x:row>
    <x:row r="44" ht="78" customHeight="1">
      <x:c r="A44" s="13" t="n">
        <x:v>43</x:v>
      </x:c>
      <x:c r="B44" s="13" t="str">
        <x:v>C1-2864AB221F</x:v>
      </x:c>
      <x:c r="C44" s="13" t="str">
        <x:v>德国驾驶员乙在法国度假时因其疏忽撞伤法国行人甲；甲欲在法国起诉乙请求赔偿。</x:v>
      </x:c>
      <x:c r="D44" s="30" t="str">
        <x:v>Court_of_X_has_jurisdiction</x:v>
      </x:c>
      <x:c r="E44" s="30" t="str">
        <x:v>法国法院</x:v>
      </x:c>
      <x:c r="F44" s="30" t="str">
        <x:v>special</x:v>
      </x:c>
      <x:c r="G44" s="30" t="str">
        <x:v>general</x:v>
      </x:c>
      <x:c r="H44" s="30" t="str">
        <x:v>yes</x:v>
      </x:c>
      <x:c r="I44" s="30" t="str">
        <x:v>yes</x:v>
      </x:c>
      <x:c r="J44" s="30" t="str">
        <x:v>Art.7(2);Art.4(1)</x:v>
      </x:c>
      <x:c r="K44" s="30" t="str">
        <x:v>须确认乙在一成员国有住所；“德国驾驶员”不应仅按国籍理解。</x:v>
      </x:c>
      <x:c r="L44" s="30" t="str">
        <x:v>medium</x:v>
      </x:c>
      <x:c r="M44" s="30" t="n">
        <x:v>4</x:v>
      </x:c>
      <x:c r="N44" s="30" t="str">
        <x:v>事故和直接损害均发生在法国，若乙在成员国有住所，法国法院依侵权特别管辖受理；德国住所地一般管辖可并存。</x:v>
      </x:c>
    </x:row>
    <x:row r="45" ht="78" customHeight="1">
      <x:c r="A45" s="13" t="n">
        <x:v>44</x:v>
      </x:c>
      <x:c r="B45" s="13" t="str">
        <x:v>C1-1A6BCA3531</x:v>
      </x:c>
      <x:c r="C45" s="13" t="str">
        <x:v>乙完全缺席；西班牙法院是否可缺席审理并判决？</x:v>
      </x:c>
      <x:c r="D45" s="30" t="str">
        <x:v>Abstain_Insufficient_Info</x:v>
      </x:c>
      <x:c r="E45" s="30" t="str">
        <x:v>none</x:v>
      </x:c>
      <x:c r="F45" s="30" t="str">
        <x:v>none</x:v>
      </x:c>
      <x:c r="G45" s="30"/>
      <x:c r="H45" s="30" t="str">
        <x:v>yes</x:v>
      </x:c>
      <x:c r="I45" s="30" t="str">
        <x:v>yes</x:v>
      </x:c>
      <x:c r="J45" s="30" t="str">
        <x:v>Art.28(1)-(2)</x:v>
      </x:c>
      <x:c r="K45" s="30" t="str">
        <x:v>缺少被告住所、案由、与西班牙的管辖连接点及送达或实际知悉情况。</x:v>
      </x:c>
      <x:c r="L45" s="30" t="str">
        <x:v>high</x:v>
      </x:c>
      <x:c r="M45" s="30" t="n">
        <x:v>5</x:v>
      </x:c>
      <x:c r="N45" s="30" t="str">
        <x:v>缺席本身不赋予管辖；法院须先依条例确认自身管辖，并保障被告有充分时间安排抗辩。</x:v>
      </x:c>
    </x:row>
    <x:row r="46" ht="78" customHeight="1">
      <x:c r="A46" s="13" t="n">
        <x:v>45</x:v>
      </x:c>
      <x:c r="B46" s="13" t="str">
        <x:v>C1-CD218F19B5</x:v>
      </x:c>
      <x:c r="C46" s="13" t="str">
        <x:v>甲将乙起诉至西班牙，但无连接点；乙出庭实体答辩未抗辩管辖。</x:v>
      </x:c>
      <x:c r="D46" s="30" t="str">
        <x:v>Court_of_X_has_jurisdiction</x:v>
      </x:c>
      <x:c r="E46" s="30" t="str">
        <x:v>西班牙法院</x:v>
      </x:c>
      <x:c r="F46" s="30" t="str">
        <x:v>appearance</x:v>
      </x:c>
      <x:c r="G46" s="30"/>
      <x:c r="H46" s="30" t="str">
        <x:v>yes</x:v>
      </x:c>
      <x:c r="I46" s="30" t="str">
        <x:v>yes</x:v>
      </x:c>
      <x:c r="J46" s="30" t="str">
        <x:v>Art.26(1)</x:v>
      </x:c>
      <x:c r="K46" s="30" t="str">
        <x:v>以争议不属于 Art.24 专属管辖，且乙不是触发 Art.26(2) 特别告知保障的受保护被告为条件。</x:v>
      </x:c>
      <x:c r="L46" s="30" t="str">
        <x:v>medium</x:v>
      </x:c>
      <x:c r="M46" s="30" t="n">
        <x:v>4</x:v>
      </x:c>
      <x:c r="N46" s="30" t="str">
        <x:v>在普通民商事争议中，乙就实体答辩且未提出管辖异议，可使原无连接点的西班牙法院依应诉取得管辖。</x:v>
      </x:c>
    </x:row>
    <x:row r="47" ht="78" customHeight="1">
      <x:c r="A47" s="13" t="n">
        <x:v>46</x:v>
      </x:c>
      <x:c r="B47" s="13" t="str">
        <x:v>C1-B385A27ED8</x:v>
      </x:c>
      <x:c r="C47" s="13" t="str">
        <x:v>甲乙均在意大利居住，但约定瑞典法院；甲仍在意大利起诉。</x:v>
      </x:c>
      <x:c r="D47" s="30" t="str">
        <x:v>Decline_in_favor_of_chosen_court</x:v>
      </x:c>
      <x:c r="E47" s="30" t="str">
        <x:v>瑞典法院</x:v>
      </x:c>
      <x:c r="F47" s="30" t="str">
        <x:v>agreement</x:v>
      </x:c>
      <x:c r="G47" s="30"/>
      <x:c r="H47" s="30" t="str">
        <x:v>no</x:v>
      </x:c>
      <x:c r="I47" s="30" t="str">
        <x:v>no</x:v>
      </x:c>
      <x:c r="J47" s="30" t="str">
        <x:v>Art.25(1)</x:v>
      </x:c>
      <x:c r="K47" s="30"/>
      <x:c r="L47" s="30" t="str">
        <x:v>low</x:v>
      </x:c>
      <x:c r="M47" s="30" t="n">
        <x:v>5</x:v>
      </x:c>
      <x:c r="N47" s="30" t="str">
        <x:v>当事人已约定瑞典法院，且未表明为非专属；Art.25(1) 原则上推定其为专属管辖。双方均居意大利并不排除选择另一成员国法院。</x:v>
      </x:c>
    </x:row>
    <x:row r="48" ht="78" customHeight="1">
      <x:c r="A48" s="13" t="n">
        <x:v>47</x:v>
      </x:c>
      <x:c r="B48" s="13" t="str">
        <x:v>C1-0C33CF2A47</x:v>
      </x:c>
      <x:c r="C48" s="13" t="str">
        <x:v>甲总公司在德，在荷设分公司对乙签约售货；产品有瑕疵，乙拟在荷起诉总公司。</x:v>
      </x:c>
      <x:c r="D48" s="30" t="str">
        <x:v>Court_of_X_has_jurisdiction</x:v>
      </x:c>
      <x:c r="E48" s="30" t="str">
        <x:v>荷兰分支机构所在地法院</x:v>
      </x:c>
      <x:c r="F48" s="30" t="str">
        <x:v>special</x:v>
      </x:c>
      <x:c r="G48" s="30" t="str">
        <x:v>general</x:v>
      </x:c>
      <x:c r="H48" s="30" t="str">
        <x:v>no</x:v>
      </x:c>
      <x:c r="I48" s="30" t="str">
        <x:v>no</x:v>
      </x:c>
      <x:c r="J48" s="30" t="str">
        <x:v>Art.7(5);Art.4(1)</x:v>
      </x:c>
      <x:c r="K48" s="30"/>
      <x:c r="L48" s="30" t="str">
        <x:v>low</x:v>
      </x:c>
      <x:c r="M48" s="30" t="n">
        <x:v>5</x:v>
      </x:c>
      <x:c r="N48" s="30" t="str">
        <x:v>合同由荷兰分支机构订立且争议源于其经营，荷兰法院有分支机构特别管辖；德国总公司住所地一般管辖亦可成立。</x:v>
      </x:c>
    </x:row>
    <x:row r="49" ht="78" customHeight="1">
      <x:c r="A49" s="13" t="n">
        <x:v>48</x:v>
      </x:c>
      <x:c r="B49" s="13" t="str">
        <x:v>C1-0C732FAF2B</x:v>
      </x:c>
      <x:c r="C49" s="13" t="str">
        <x:v>意大利法院受理甲对乙的侵权之诉；随后法国法院受理同一投资项目下甲对丙的合同责任之诉，两案事实背景高度重合但请求不同。</x:v>
      </x:c>
      <x:c r="D49" s="30" t="str">
        <x:v>Court_of_X_has_jurisdiction</x:v>
      </x:c>
      <x:c r="E49" s="30" t="str">
        <x:v>意大利法院与法国法院（法国法院可酌情中止）</x:v>
      </x:c>
      <x:c r="F49" s="30" t="str">
        <x:v>lis_pendens</x:v>
      </x:c>
      <x:c r="G49" s="30"/>
      <x:c r="H49" s="30" t="str">
        <x:v>yes</x:v>
      </x:c>
      <x:c r="I49" s="30" t="str">
        <x:v>yes</x:v>
      </x:c>
      <x:c r="J49" s="30" t="str">
        <x:v>Art.30(1);Art.30(3)</x:v>
      </x:c>
      <x:c r="K49" s="30" t="str">
        <x:v>须判断分案审理是否确有不可调和判决风险；中止属于法国后受理法院的裁量。</x:v>
      </x:c>
      <x:c r="L49" s="30" t="str">
        <x:v>high</x:v>
      </x:c>
      <x:c r="M49" s="30" t="n">
        <x:v>3</x:v>
      </x:c>
      <x:c r="N49" s="30" t="str">
        <x:v>当事人和请求不同，Art.29 的强制中止不适用；高度重合事实最多构成 Art.30 相关诉讼。类型栏以 lis_pendens 作为现有原子标签中最接近者。</x:v>
      </x:c>
    </x:row>
    <x:row r="50" ht="78" customHeight="1">
      <x:c r="A50" s="13" t="n">
        <x:v>49</x:v>
      </x:c>
      <x:c r="B50" s="13" t="str">
        <x:v>C1-687092448B</x:v>
      </x:c>
      <x:c r="C50" s="13" t="str">
        <x:v>法国消费者甲通过网络向荷兰商家乙订购家具，在预先勾选的条款中，甲以单独确认的方式接受了“阿姆斯特丹法院专属管辖”的条款；甲后来在阿姆斯特丹起诉乙要求履行。</x:v>
      </x:c>
      <x:c r="D50" s="30" t="str">
        <x:v>Court_of_X_has_jurisdiction</x:v>
      </x:c>
      <x:c r="E50" s="30" t="str">
        <x:v>荷兰阿姆斯特丹法院</x:v>
      </x:c>
      <x:c r="F50" s="30" t="str">
        <x:v>special</x:v>
      </x:c>
      <x:c r="G50" s="30" t="str">
        <x:v>general</x:v>
      </x:c>
      <x:c r="H50" s="30" t="str">
        <x:v>no</x:v>
      </x:c>
      <x:c r="I50" s="30" t="str">
        <x:v>no</x:v>
      </x:c>
      <x:c r="J50" s="30" t="str">
        <x:v>Art.4(1);Art.18(1);Art.19;Art.25(4)</x:v>
      </x:c>
      <x:c r="K50" s="30"/>
      <x:c r="L50" s="30" t="str">
        <x:v>medium</x:v>
      </x:c>
      <x:c r="M50" s="30" t="n">
        <x:v>5</x:v>
      </x:c>
      <x:c r="N50" s="30" t="str">
        <x:v>消费者作为原告可在商家住所地荷兰起诉，且商家住所也支持一般管辖；诉前条款的单独确认只解决形式，不能绕过 Art.19 的消费者保护限制。</x:v>
      </x:c>
    </x:row>
    <x:row r="51" ht="78" customHeight="1">
      <x:c r="A51" s="13" t="n">
        <x:v>50</x:v>
      </x:c>
      <x:c r="B51" s="13" t="str">
        <x:v>C1-D39E6130BB</x:v>
      </x:c>
      <x:c r="C51" s="13" t="str">
        <x:v>意大利总公司乙在法国里昂设有分支机构；甲就与该分支机构签订的维修合同在里昂法院起诉乙。</x:v>
      </x:c>
      <x:c r="D51" s="30" t="str">
        <x:v>Court_of_X_has_jurisdiction</x:v>
      </x:c>
      <x:c r="E51" s="30" t="str">
        <x:v>法国里昂法院</x:v>
      </x:c>
      <x:c r="F51" s="30" t="str">
        <x:v>special</x:v>
      </x:c>
      <x:c r="G51" s="30" t="str">
        <x:v>general</x:v>
      </x:c>
      <x:c r="H51" s="30" t="str">
        <x:v>no</x:v>
      </x:c>
      <x:c r="I51" s="30" t="str">
        <x:v>no</x:v>
      </x:c>
      <x:c r="J51" s="30" t="str">
        <x:v>Art.7(5);Art.4(1)</x:v>
      </x:c>
      <x:c r="K51" s="30"/>
      <x:c r="L51" s="30" t="str">
        <x:v>low</x:v>
      </x:c>
      <x:c r="M51" s="30" t="n">
        <x:v>5</x:v>
      </x:c>
      <x:c r="N51" s="30" t="str">
        <x:v>维修合同由里昂分支机构订立并源于其经营，里昂法院有分支机构特别管辖；意大利总公司住所地一般管辖亦可成立。</x:v>
      </x:c>
    </x:row>
    <x:row r="52" ht="78" customHeight="1">
      <x:c r="A52" s="13" t="n">
        <x:v>51</x:v>
      </x:c>
      <x:c r="B52" s="13" t="str">
        <x:v>C1-551970B4BC</x:v>
      </x:c>
      <x:c r="C52" s="13" t="str">
        <x:v>意大利甲与西班牙乙在买卖合同中约定法国法院专属管辖；后甲在法国起诉。</x:v>
      </x:c>
      <x:c r="D52" s="30" t="str">
        <x:v>Court_of_X_has_jurisdiction</x:v>
      </x:c>
      <x:c r="E52" s="30" t="str">
        <x:v>法国法院</x:v>
      </x:c>
      <x:c r="F52" s="30" t="str">
        <x:v>agreement</x:v>
      </x:c>
      <x:c r="G52" s="30"/>
      <x:c r="H52" s="30" t="str">
        <x:v>no</x:v>
      </x:c>
      <x:c r="I52" s="30" t="str">
        <x:v>no</x:v>
      </x:c>
      <x:c r="J52" s="30" t="str">
        <x:v>Art.25(1)</x:v>
      </x:c>
      <x:c r="K52" s="30"/>
      <x:c r="L52" s="30" t="str">
        <x:v>low</x:v>
      </x:c>
      <x:c r="M52" s="30" t="n">
        <x:v>5</x:v>
      </x:c>
      <x:c r="N52" s="30" t="str">
        <x:v>双方选择法国法院专属管辖且诉讼已在指定法院提起，法国法院依协议管辖。</x:v>
      </x:c>
    </x:row>
    <x:row r="53" ht="78" customHeight="1">
      <x:c r="A53" s="13" t="n">
        <x:v>52</x:v>
      </x:c>
      <x:c r="B53" s="13" t="str">
        <x:v>C1-A28D53FC6D</x:v>
      </x:c>
      <x:c r="C53" s="13" t="str">
        <x:v>西班牙设计师甲为德国企业乙提供市场推广服务，主要在巴塞罗那实施；乙拒付报酬，甲在西班牙法院起诉。</x:v>
      </x:c>
      <x:c r="D53" s="30" t="str">
        <x:v>Court_of_X_has_jurisdiction</x:v>
      </x:c>
      <x:c r="E53" s="30" t="str">
        <x:v>西班牙巴塞罗那法院</x:v>
      </x:c>
      <x:c r="F53" s="30" t="str">
        <x:v>special</x:v>
      </x:c>
      <x:c r="G53" s="30" t="str">
        <x:v>general</x:v>
      </x:c>
      <x:c r="H53" s="30" t="str">
        <x:v>no</x:v>
      </x:c>
      <x:c r="I53" s="30" t="str">
        <x:v>no</x:v>
      </x:c>
      <x:c r="J53" s="30" t="str">
        <x:v>Art.7(1)(b);Art.4(1)</x:v>
      </x:c>
      <x:c r="K53" s="30"/>
      <x:c r="L53" s="30" t="str">
        <x:v>low</x:v>
      </x:c>
      <x:c r="M53" s="30" t="n">
        <x:v>5</x:v>
      </x:c>
      <x:c r="N53" s="30" t="str">
        <x:v>市场推广服务主要在巴塞罗那实施，西班牙为服务履行地；德国企业住所地一般管辖亦可成立。</x:v>
      </x:c>
    </x:row>
    <x:row r="54" ht="78" customHeight="1">
      <x:c r="A54" s="13" t="n">
        <x:v>53</x:v>
      </x:c>
      <x:c r="B54" s="13" t="str">
        <x:v>C1-B5B410B615</x:v>
      </x:c>
      <x:c r="C54" s="13" t="str">
        <x:v>甲在瑞典注册一项欧盟商标；乙在德国起诉，请求宣告该商标注册无效。</x:v>
      </x:c>
      <x:c r="D54" s="30" t="str">
        <x:v>Court_of_X_has_jurisdiction</x:v>
      </x:c>
      <x:c r="E54" s="30" t="str">
        <x:v>欧盟知识产权局（EUIPO）</x:v>
      </x:c>
      <x:c r="F54" s="30" t="str">
        <x:v>exclusive</x:v>
      </x:c>
      <x:c r="G54" s="30"/>
      <x:c r="H54" s="30" t="str">
        <x:v>no</x:v>
      </x:c>
      <x:c r="I54" s="30" t="str">
        <x:v>no</x:v>
      </x:c>
      <x:c r="J54" s="30" t="str">
        <x:v>Regulation (EU) 2017/1001 Art.59-60;Art.63(1);Art.124(d);Art.128(1)</x:v>
      </x:c>
      <x:c r="K54" s="30"/>
      <x:c r="L54" s="30" t="str">
        <x:v>medium</x:v>
      </x:c>
      <x:c r="M54" s="30" t="n">
        <x:v>4</x:v>
      </x:c>
      <x:c r="N54" s="30" t="str">
        <x:v>对欧盟商标提出独立无效申请原则上应向 EUIPO 提交；欧盟商标法院对无效的专属权限在 Art.124(d)、Art.128 框架下表现为侵权诉讼中的无效反诉。现有标签没有“行政机关专属权限”，故以最接近标签映射。</x:v>
      </x:c>
    </x:row>
    <x:row r="55" ht="78" customHeight="1">
      <x:c r="A55" s="13" t="n">
        <x:v>54</x:v>
      </x:c>
      <x:c r="B55" s="13" t="str">
        <x:v>C1-C0B9BBF4DF</x:v>
      </x:c>
      <x:c r="C55" s="13" t="str">
        <x:v>甲乙邮件往来达成合同，但无书面管辖条款；甲称曾口头同意丹麦法院；乙否认。</x:v>
      </x:c>
      <x:c r="D55" s="30" t="str">
        <x:v>Abstain_Insufficient_Info</x:v>
      </x:c>
      <x:c r="E55" s="30" t="str">
        <x:v>none</x:v>
      </x:c>
      <x:c r="F55" s="30" t="str">
        <x:v>none</x:v>
      </x:c>
      <x:c r="G55" s="30"/>
      <x:c r="H55" s="30" t="str">
        <x:v>yes</x:v>
      </x:c>
      <x:c r="I55" s="30" t="str">
        <x:v>yes</x:v>
      </x:c>
      <x:c r="J55" s="30" t="str">
        <x:v>Art.25(1)-(2)</x:v>
      </x:c>
      <x:c r="K55" s="30" t="str">
        <x:v>缺少可证明管辖合意的书面或可持久记录、既往惯例或国际贸易习惯，也缺少其他管辖连接点。</x:v>
      </x:c>
      <x:c r="L55" s="30" t="str">
        <x:v>high</x:v>
      </x:c>
      <x:c r="M55" s="30" t="n">
        <x:v>5</x:v>
      </x:c>
      <x:c r="N55" s="30" t="str">
        <x:v>合同邮件只能证明合同，不等于证明被否认的口头选择法院约定；现有事实无法确认丹麦协议管辖或其他法院。</x:v>
      </x:c>
    </x:row>
    <x:row r="56" ht="78" customHeight="1">
      <x:c r="A56" s="13" t="n">
        <x:v>55</x:v>
      </x:c>
      <x:c r="B56" s="13" t="str">
        <x:v>C1-51E570CD8D</x:v>
      </x:c>
      <x:c r="C56" s="13" t="str">
        <x:v>西班牙法院受理甲诉乙之债务纠纷，乙完全缺席；法院查明起诉状已依欧盟送达规则妥为送达。</x:v>
      </x:c>
      <x:c r="D56" s="30" t="str">
        <x:v>Abstain_Insufficient_Info</x:v>
      </x:c>
      <x:c r="E56" s="30" t="str">
        <x:v>none</x:v>
      </x:c>
      <x:c r="F56" s="30" t="str">
        <x:v>none</x:v>
      </x:c>
      <x:c r="G56" s="30"/>
      <x:c r="H56" s="30" t="str">
        <x:v>yes</x:v>
      </x:c>
      <x:c r="I56" s="30" t="str">
        <x:v>yes</x:v>
      </x:c>
      <x:c r="J56" s="30" t="str">
        <x:v>Art.28(1)-(2)</x:v>
      </x:c>
      <x:c r="K56" s="30" t="str">
        <x:v>缺少乙的住所、债务履行地或其他使西班牙法院取得管辖的连接事实。</x:v>
      </x:c>
      <x:c r="L56" s="30" t="str">
        <x:v>high</x:v>
      </x:c>
      <x:c r="M56" s="30" t="n">
        <x:v>5</x:v>
      </x:c>
      <x:c r="N56" s="30" t="str">
        <x:v>妥为送达满足缺席程序的防御权要求，但不能替代独立的管辖基础；仅凭送达仍不能作出缺席判决。</x:v>
      </x:c>
    </x:row>
    <x:row r="57" ht="78" customHeight="1">
      <x:c r="A57" s="13" t="n">
        <x:v>56</x:v>
      </x:c>
      <x:c r="B57" s="13" t="str">
        <x:v>C1-0A4657193D</x:v>
      </x:c>
      <x:c r="C57" s="13" t="str">
        <x:v>乙为美国公司，在欧盟无住所；法原告欲在法国起诉。</x:v>
      </x:c>
      <x:c r="D57" s="30" t="str">
        <x:v>No_EU_jurisdiction_use_member_state_law</x:v>
      </x:c>
      <x:c r="E57" s="30" t="str">
        <x:v>法国法院（依法国国内法判断）</x:v>
      </x:c>
      <x:c r="F57" s="30" t="str">
        <x:v>none</x:v>
      </x:c>
      <x:c r="G57" s="30"/>
      <x:c r="H57" s="30" t="str">
        <x:v>no</x:v>
      </x:c>
      <x:c r="I57" s="30" t="str">
        <x:v>no</x:v>
      </x:c>
      <x:c r="J57" s="30" t="str">
        <x:v>Art.6(1)</x:v>
      </x:c>
      <x:c r="K57" s="30"/>
      <x:c r="L57" s="30" t="str">
        <x:v>low</x:v>
      </x:c>
      <x:c r="M57" s="30" t="n">
        <x:v>5</x:v>
      </x:c>
      <x:c r="N57" s="30" t="str">
        <x:v>被告为在欧盟无住所的美国公司；案情未给出消费者、雇佣、专属管辖或选择法院等条例例外连接点，因此法国法院的国际管辖原则上依法国国内法判断。</x:v>
      </x:c>
    </x:row>
    <x:row r="58" ht="78" customHeight="1">
      <x:c r="A58" s="13" t="n">
        <x:v>57</x:v>
      </x:c>
      <x:c r="B58" s="13" t="str">
        <x:v>C1-71A6586DA9</x:v>
      </x:c>
      <x:c r="C58" s="13" t="str">
        <x:v>乙为西班牙居民；甲就货款在西班牙法院起诉乙。</x:v>
      </x:c>
      <x:c r="D58" s="30" t="str">
        <x:v>Court_of_X_has_jurisdiction</x:v>
      </x:c>
      <x:c r="E58" s="30" t="str">
        <x:v>西班牙法院</x:v>
      </x:c>
      <x:c r="F58" s="30" t="str">
        <x:v>general</x:v>
      </x:c>
      <x:c r="G58" s="30"/>
      <x:c r="H58" s="30" t="str">
        <x:v>no</x:v>
      </x:c>
      <x:c r="I58" s="30" t="str">
        <x:v>no</x:v>
      </x:c>
      <x:c r="J58" s="30" t="str">
        <x:v>Art.4(1)</x:v>
      </x:c>
      <x:c r="K58" s="30"/>
      <x:c r="L58" s="30" t="str">
        <x:v>low</x:v>
      </x:c>
      <x:c r="M58" s="30" t="n">
        <x:v>5</x:v>
      </x:c>
      <x:c r="N58" s="30" t="str">
        <x:v>乙住所位于西班牙，西班牙法院依一般管辖受理货款之诉。</x:v>
      </x:c>
    </x:row>
    <x:row r="59" ht="78" customHeight="1">
      <x:c r="A59" s="13" t="n">
        <x:v>58</x:v>
      </x:c>
      <x:c r="B59" s="13" t="str">
        <x:v>C1-FD95C82ACD</x:v>
      </x:c>
      <x:c r="C59" s="13" t="str">
        <x:v>德国法院先受理甲诉乙的合同赔偿之诉；随后西班牙法院又受理同一合同、同一当事人的消极确认之诉。</x:v>
      </x:c>
      <x:c r="D59" s="30" t="str">
        <x:v>Stay_for_first_seised</x:v>
      </x:c>
      <x:c r="E59" s="30" t="str">
        <x:v>德国法院（先受理）；西班牙法院中止</x:v>
      </x:c>
      <x:c r="F59" s="30" t="str">
        <x:v>lis_pendens</x:v>
      </x:c>
      <x:c r="G59" s="30"/>
      <x:c r="H59" s="30" t="str">
        <x:v>no</x:v>
      </x:c>
      <x:c r="I59" s="30" t="str">
        <x:v>no</x:v>
      </x:c>
      <x:c r="J59" s="30" t="str">
        <x:v>Art.29(1);Art.29(3)</x:v>
      </x:c>
      <x:c r="K59" s="30"/>
      <x:c r="L59" s="30" t="str">
        <x:v>low</x:v>
      </x:c>
      <x:c r="M59" s="30" t="n">
        <x:v>5</x:v>
      </x:c>
      <x:c r="N59" s="30" t="str">
        <x:v>同一合同、同一当事人的赔偿之诉与消极确认属于镜像诉讼；西班牙后受理法院应中止。参见 C-406/92, Tatry。</x:v>
      </x:c>
    </x:row>
    <x:row r="60" ht="78" customHeight="1">
      <x:c r="A60" s="13" t="n">
        <x:v>59</x:v>
      </x:c>
      <x:c r="B60" s="13" t="str">
        <x:v>C1-8DBDFB90CC</x:v>
      </x:c>
      <x:c r="C60" s="13" t="str">
        <x:v>乙为德国国籍但长期居住在中国；甲（德国居民）拟在德国起诉乙。</x:v>
      </x:c>
      <x:c r="D60" s="30" t="str">
        <x:v>No_EU_jurisdiction_use_member_state_law</x:v>
      </x:c>
      <x:c r="E60" s="30" t="str">
        <x:v>德国法院（依德国国内法判断）</x:v>
      </x:c>
      <x:c r="F60" s="30" t="str">
        <x:v>none</x:v>
      </x:c>
      <x:c r="G60" s="30"/>
      <x:c r="H60" s="30" t="str">
        <x:v>yes</x:v>
      </x:c>
      <x:c r="I60" s="30" t="str">
        <x:v>yes</x:v>
      </x:c>
      <x:c r="J60" s="30" t="str">
        <x:v>Art.4(1);Art.6(1);Art.62(1)</x:v>
      </x:c>
      <x:c r="K60" s="30" t="str">
        <x:v>须依德国法确认乙在起诉时不再以德国为住所；德国国籍本身不构成 Art.4 住所。</x:v>
      </x:c>
      <x:c r="L60" s="30" t="str">
        <x:v>medium</x:v>
      </x:c>
      <x:c r="M60" s="30" t="n">
        <x:v>5</x:v>
      </x:c>
      <x:c r="N60" s="30" t="str">
        <x:v>若乙的法律住所确在中国，条例的一般管辖不适用，德国法院管辖转由德国国内法决定。</x:v>
      </x:c>
    </x:row>
    <x:row r="61" ht="78" customHeight="1">
      <x:c r="A61" s="13" t="n">
        <x:v>60</x:v>
      </x:c>
      <x:c r="B61" s="13" t="str">
        <x:v>C1-34DE397D43</x:v>
      </x:c>
      <x:c r="C61" s="13" t="str">
        <x:v>甲获法国金钱判决，拟在西班牙执行；乙对执行提出异议。</x:v>
      </x:c>
      <x:c r="D61" s="30" t="str">
        <x:v>Court_of_X_has_jurisdiction</x:v>
      </x:c>
      <x:c r="E61" s="30" t="str">
        <x:v>西班牙执行地法院</x:v>
      </x:c>
      <x:c r="F61" s="30" t="str">
        <x:v>exclusive</x:v>
      </x:c>
      <x:c r="G61" s="30"/>
      <x:c r="H61" s="30" t="str">
        <x:v>no</x:v>
      </x:c>
      <x:c r="I61" s="30" t="str">
        <x:v>no</x:v>
      </x:c>
      <x:c r="J61" s="30" t="str">
        <x:v>Art.24(5);Art.41(1)-(2)</x:v>
      </x:c>
      <x:c r="K61" s="30"/>
      <x:c r="L61" s="30" t="str">
        <x:v>low</x:v>
      </x:c>
      <x:c r="M61" s="30" t="n">
        <x:v>5</x:v>
      </x:c>
      <x:c r="N61" s="30" t="str">
        <x:v>争议针对在西班牙实施的强制执行，执行地法院依 Art.24(5) 享有专属管辖；执行程序原则上适用西班牙法（Art.41）。若债务人的异议属于拒绝执行申请，再适用 Arts.46-47。</x:v>
      </x:c>
    </x:row>
  </x:sheetData>
  <x:dataValidations count="5">
    <x:dataValidation type="list" sqref="D2:D61">
      <x:formula1>"Court_of_X_has_jurisdiction,Stay_for_first_seised,Decline_in_favor_of_chosen_court,No_EU_jurisdiction_use_member_state_law,Abstain_Insufficient_Info"</x:formula1>
    </x:dataValidation>
    <x:dataValidation type="list" sqref="F2:F61">
      <x:formula1>"exclusive,agreement,special,general,lis_pendens,appearance,none"</x:formula1>
    </x:dataValidation>
    <x:dataValidation type="list" sqref="H2:I61">
      <x:formula1>"yes,no"</x:formula1>
    </x:dataValidation>
    <x:dataValidation type="list" sqref="L2:L61">
      <x:formula1>"low,medium,high"</x:formula1>
    </x:dataValidation>
    <x:dataValidation type="whole" operator="between" sqref="M2:M61">
      <x:formula1>1</x:formula1>
      <x:formula2>5</x:formula2>
    </x:dataValidation>
  </x:dataValidations>
  <x:pageMargins left="0.7" right="0.7" top="0.75" bottom="0.75" header="0.3" footer="0.3"/>
  <x:tableParts count="1">
    <x:tablePart xmlns:r="http://schemas.openxmlformats.org/officeDocument/2006/relationships" r:id="R6425aa3132b14d7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7" max="7" width="42" hidden="0" customWidth="1"/>
    <x:col min="8" max="8" width="90" hidden="0" customWidth="1"/>
  </x:cols>
  <x:sheetData>
    <x:row r="1">
      <x:c r="A1" s="31" t="str">
        <x:v>主要结论</x:v>
      </x:c>
      <x:c r="B1" s="31" t="str">
        <x:v>主要管辖类型</x:v>
      </x:c>
      <x:c r="C1" s="31" t="str">
        <x:v>是/否</x:v>
      </x:c>
      <x:c r="D1" s="31" t="str">
        <x:v>歧义程度</x:v>
      </x:c>
      <x:c r="E1" s="31" t="str">
        <x:v>信心</x:v>
      </x:c>
      <x:c r="G1" s="16" t="str">
        <x:v>标签释义</x:v>
      </x:c>
      <x:c r="H1" s="16"/>
      <x:c r="I1" s="16"/>
      <x:c r="J1" s="16"/>
      <x:c r="K1" s="16"/>
    </x:row>
    <x:row r="2">
      <x:c r="A2" s="32" t="str">
        <x:v>Court_of_X_has_jurisdiction</x:v>
      </x:c>
      <x:c r="B2" s="32" t="str">
        <x:v>exclusive</x:v>
      </x:c>
      <x:c r="C2" s="32" t="str">
        <x:v>yes</x:v>
      </x:c>
      <x:c r="D2" s="32" t="str">
        <x:v>low</x:v>
      </x:c>
      <x:c r="E2" s="32" t="n">
        <x:v>1</x:v>
      </x:c>
      <x:c r="G2" s="36" t="str">
        <x:v>Court_of_X_has_jurisdiction</x:v>
      </x:c>
      <x:c r="H2" s="34" t="str">
        <x:v>能够确定一个或多个具体法院/法域有管辖；主要法院写入自由文本列。</x:v>
      </x:c>
    </x:row>
    <x:row r="3">
      <x:c r="A3" s="32" t="str">
        <x:v>Stay_for_first_seised</x:v>
      </x:c>
      <x:c r="B3" s="32" t="str">
        <x:v>agreement</x:v>
      </x:c>
      <x:c r="C3" s="32" t="str">
        <x:v>no</x:v>
      </x:c>
      <x:c r="D3" s="32" t="str">
        <x:v>medium</x:v>
      </x:c>
      <x:c r="E3" s="32" t="n">
        <x:v>2</x:v>
      </x:c>
      <x:c r="G3" s="36" t="str">
        <x:v>Stay_for_first_seised</x:v>
      </x:c>
      <x:c r="H3" s="34" t="str">
        <x:v>后受理法院应中止或等待先受理法院决定。</x:v>
      </x:c>
    </x:row>
    <x:row r="4">
      <x:c r="A4" s="32" t="str">
        <x:v>Decline_in_favor_of_chosen_court</x:v>
      </x:c>
      <x:c r="B4" s="32" t="str">
        <x:v>special</x:v>
      </x:c>
      <x:c r="D4" s="32" t="str">
        <x:v>high</x:v>
      </x:c>
      <x:c r="E4" s="32" t="n">
        <x:v>3</x:v>
      </x:c>
      <x:c r="G4" s="36" t="str">
        <x:v>Decline_in_favor_of_chosen_court</x:v>
      </x:c>
      <x:c r="H4" s="34" t="str">
        <x:v>因有效选择法院条款，非指定法院应中止/让位。</x:v>
      </x:c>
    </x:row>
    <x:row r="5">
      <x:c r="A5" s="32" t="str">
        <x:v>No_EU_jurisdiction_use_member_state_law</x:v>
      </x:c>
      <x:c r="B5" s="32" t="str">
        <x:v>general</x:v>
      </x:c>
      <x:c r="E5" s="32" t="n">
        <x:v>4</x:v>
      </x:c>
      <x:c r="G5" s="36" t="str">
        <x:v>No_EU_jurisdiction_use_member_state_law</x:v>
      </x:c>
      <x:c r="H5" s="34" t="str">
        <x:v>该条例不能给出欧盟层面的管辖结论，应转成员国法。</x:v>
      </x:c>
    </x:row>
    <x:row r="6">
      <x:c r="A6" s="32" t="str">
        <x:v>Abstain_Insufficient_Info</x:v>
      </x:c>
      <x:c r="B6" s="32" t="str">
        <x:v>lis_pendens</x:v>
      </x:c>
      <x:c r="E6" s="32" t="n">
        <x:v>5</x:v>
      </x:c>
      <x:c r="G6" s="36" t="str">
        <x:v>Abstain_Insufficient_Info</x:v>
      </x:c>
      <x:c r="H6" s="34" t="str">
        <x:v>案情材料不足以可靠给出主要结论。</x:v>
      </x:c>
    </x:row>
    <x:row r="7">
      <x:c r="B7" s="32" t="str">
        <x:v>appearance</x:v>
      </x:c>
      <x:c r="G7" s="36" t="str">
        <x:v>备选管辖类型</x:v>
      </x:c>
      <x:c r="H7" s="34" t="str">
        <x:v>只填原子类型，多个用分号分隔，例如 special;general；没有则留空。</x:v>
      </x:c>
    </x:row>
    <x:row r="8">
      <x:c r="B8" s="32" t="str">
        <x:v>none</x:v>
      </x:c>
      <x:c r="G8" s="36" t="str">
        <x:v>条文</x:v>
      </x:c>
      <x:c r="H8" s="34" t="str">
        <x:v>多个条文用分号分隔；优先采用 Art.29(1) 等精确格式。</x:v>
      </x:c>
    </x:row>
    <x:row r="9">
      <x:c r="G9" s="36" t="str">
        <x:v>官方来源</x:v>
      </x:c>
      <x:c r="H9" s="34" t="str">
        <x:v>https://eur-lex.europa.eu/legal-content/EN/TXT/?uri=CELEX:32012R1215</x:v>
      </x:c>
    </x:row>
  </x:sheetData>
  <x:mergeCells>
    <x:mergeCell ref="G1:K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9" hidden="0" customWidth="1"/>
    <x:col min="3" max="3" width="15" hidden="0" customWidth="1"/>
    <x:col min="4" max="4" width="30" hidden="0" customWidth="1"/>
    <x:col min="5" max="5" width="48" hidden="0" customWidth="1"/>
    <x:col min="6" max="6" width="52" hidden="0" customWidth="1"/>
    <x:col min="7" max="7" width="55" hidden="0" customWidth="1"/>
  </x:cols>
  <x:sheetData>
    <x:row r="1" ht="30" customHeight="1">
      <x:c r="A1" s="43" t="str">
        <x:v>呈现序号</x:v>
      </x:c>
      <x:c r="B1" s="43" t="str">
        <x:v>评审编号</x:v>
      </x:c>
      <x:c r="C1" s="43" t="str">
        <x:v>复核结果</x:v>
      </x:c>
      <x:c r="D1" s="43" t="str">
        <x:v>复核后法律依据</x:v>
      </x:c>
      <x:c r="E1" s="43" t="str">
        <x:v>法规官方来源（EUR-Lex）</x:v>
      </x:c>
      <x:c r="F1" s="43" t="str">
        <x:v>判例/补充官方来源</x:v>
      </x:c>
      <x:c r="G1" s="43" t="str">
        <x:v>复核说明</x:v>
      </x:c>
    </x:row>
    <x:row r="2" ht="38" customHeight="1">
      <x:c r="A2" s="47" t="n">
        <x:v>1</x:v>
      </x:c>
      <x:c r="B2" s="48" t="str">
        <x:v>C1-0E7A4E47F8</x:v>
      </x:c>
      <x:c r="C2" s="47" t="str">
        <x:v>修订</x:v>
      </x:c>
      <x:c r="D2" s="48" t="str">
        <x:v>Art.24(1);Art.27</x:v>
      </x:c>
      <x:c r="E2" s="48" t="str">
        <x:v>https://eur-lex.europa.eu/eli/reg/2012/1215/2015-02-26/eng</x:v>
      </x:c>
      <x:c r="F2" s="48" t="str">
        <x:v>https://eur-lex.europa.eu/legal-content/EN/TXT/?uri=CELEX:62015CJ0417</x:v>
      </x:c>
      <x:c r="G2" s="48" t="str">
        <x:v>删除 Art.24(3)：所有权登记删除/更正应依 Art.24(1)，C-417/15 Schmidt 直接支持。</x:v>
      </x:c>
    </x:row>
    <x:row r="3" ht="38" customHeight="1">
      <x:c r="A3" s="46" t="n">
        <x:v>2</x:v>
      </x:c>
      <x:c r="B3" s="45" t="str">
        <x:v>C1-2CA6936C5C</x:v>
      </x:c>
      <x:c r="C3" s="46" t="str">
        <x:v>通过（补法源）</x:v>
      </x:c>
      <x:c r="D3" s="45" t="str">
        <x:v>Art.25(1);Art.31(2)-(3)</x:v>
      </x:c>
      <x:c r="E3" s="45" t="str">
        <x:v>https://eur-lex.europa.eu/eli/reg/2012/1215/2015-02-26/eng</x:v>
      </x:c>
      <x:c r="F3" s="45" t="str"/>
      <x:c r="G3" s="45" t="str">
        <x:v>结论与所引条文总体匹配；已补 EUR-Lex 官方法规来源。</x:v>
      </x:c>
    </x:row>
    <x:row r="4" ht="38" customHeight="1">
      <x:c r="A4" s="47" t="n">
        <x:v>3</x:v>
      </x:c>
      <x:c r="B4" s="48" t="str">
        <x:v>C1-5A898AD029</x:v>
      </x:c>
      <x:c r="C4" s="47" t="str">
        <x:v>修订</x:v>
      </x:c>
      <x:c r="D4" s="48" t="str">
        <x:v>Art.24(5);Art.41(1)-(2)</x:v>
      </x:c>
      <x:c r="E4" s="48" t="str">
        <x:v>https://eur-lex.europa.eu/eli/reg/2012/1215/2015-02-26/eng</x:v>
      </x:c>
      <x:c r="F4" s="48" t="str"/>
      <x:c r="G4" s="48" t="str">
        <x:v>将一般执行异议依据从 Art.47(1) 改为 Art.41(1)-(2)；仅在拒绝执行申请时再进入 Arts.46-47。</x:v>
      </x:c>
    </x:row>
    <x:row r="5" ht="38" customHeight="1">
      <x:c r="A5" s="46" t="n">
        <x:v>4</x:v>
      </x:c>
      <x:c r="B5" s="45" t="str">
        <x:v>C1-2FA846F330</x:v>
      </x:c>
      <x:c r="C5" s="46" t="str">
        <x:v>通过（补法源）</x:v>
      </x:c>
      <x:c r="D5" s="45" t="str">
        <x:v>Art.6(1);Art.7(6);Art.63(3);Withdrawal Agreement Art.67(1)(a)</x:v>
      </x:c>
      <x:c r="E5" s="45" t="str">
        <x:v>https://eur-lex.europa.eu/eli/reg/2012/1215/2015-02-26/eng</x:v>
      </x:c>
      <x:c r="F5" s="45" t="str">
        <x:v>https://eur-lex.europa.eu/eli/treaty/withd_2020/2023-09-29/eng</x:v>
      </x:c>
      <x:c r="G5" s="45" t="str">
        <x:v>英国相关案件必须同时核对 Withdrawal Agreement Art.67(1)(a) 的过渡期时间条件。</x:v>
      </x:c>
    </x:row>
    <x:row r="6" ht="38" customHeight="1">
      <x:c r="A6" s="46" t="n">
        <x:v>5</x:v>
      </x:c>
      <x:c r="B6" s="45" t="str">
        <x:v>C1-03864CCB0A</x:v>
      </x:c>
      <x:c r="C6" s="46" t="str">
        <x:v>通过（补法源）</x:v>
      </x:c>
      <x:c r="D6" s="45" t="str">
        <x:v>Art.24(4);Art.26(1);Art.27</x:v>
      </x:c>
      <x:c r="E6" s="45" t="str">
        <x:v>https://eur-lex.europa.eu/eli/reg/2012/1215/2015-02-26/eng</x:v>
      </x:c>
      <x:c r="F6" s="45" t="str"/>
      <x:c r="G6" s="45" t="str">
        <x:v>结论与所引条文总体匹配；已补 EUR-Lex 官方法规来源。</x:v>
      </x:c>
    </x:row>
    <x:row r="7" ht="38" customHeight="1">
      <x:c r="A7" s="46" t="n">
        <x:v>6</x:v>
      </x:c>
      <x:c r="B7" s="45" t="str">
        <x:v>C1-38DCAB53D0</x:v>
      </x:c>
      <x:c r="C7" s="46" t="str">
        <x:v>通过（补法源）</x:v>
      </x:c>
      <x:c r="D7" s="45" t="str">
        <x:v>Art.24(1)</x:v>
      </x:c>
      <x:c r="E7" s="45" t="str">
        <x:v>https://eur-lex.europa.eu/eli/reg/2012/1215/2015-02-26/eng</x:v>
      </x:c>
      <x:c r="F7" s="45" t="str">
        <x:v>https://eur-lex.europa.eu/legal-content/EN/TXT/?uri=CELEX:62014CJ0605</x:v>
      </x:c>
      <x:c r="G7" s="45" t="str">
        <x:v>保留条件式：只有优先使用权被定性为可对世的不动产物权时才进入 Art.24(1)；C-605/14 Komu 可作边界参考。</x:v>
      </x:c>
    </x:row>
    <x:row r="8" ht="38" customHeight="1">
      <x:c r="A8" s="46" t="n">
        <x:v>7</x:v>
      </x:c>
      <x:c r="B8" s="45" t="str">
        <x:v>C1-642A5D1116</x:v>
      </x:c>
      <x:c r="C8" s="46" t="str">
        <x:v>通过（补法源）</x:v>
      </x:c>
      <x:c r="D8" s="45" t="str">
        <x:v>Art.29(1);Art.29(3)</x:v>
      </x:c>
      <x:c r="E8" s="45" t="str">
        <x:v>https://eur-lex.europa.eu/eli/reg/2012/1215/2015-02-26/eng</x:v>
      </x:c>
      <x:c r="F8" s="45" t="str">
        <x:v>https://eur-lex.europa.eu/legal-content/EN/ALL/?uri=CELEX:61992CJ0406</x:v>
      </x:c>
      <x:c r="G8" s="45" t="str">
        <x:v>Art.29 的同一诉因/对象判断由 C-406/92 Tatry 对消极确认与赔偿请求的关系提供关键解释。</x:v>
      </x:c>
    </x:row>
    <x:row r="9" ht="38" customHeight="1">
      <x:c r="A9" s="46" t="n">
        <x:v>8</x:v>
      </x:c>
      <x:c r="B9" s="45" t="str">
        <x:v>C1-D00291DCC2</x:v>
      </x:c>
      <x:c r="C9" s="46" t="str">
        <x:v>通过（补法源）</x:v>
      </x:c>
      <x:c r="D9" s="45" t="str">
        <x:v>Art.24(1);Art.25(4);Art.27</x:v>
      </x:c>
      <x:c r="E9" s="45" t="str">
        <x:v>https://eur-lex.europa.eu/eli/reg/2012/1215/2015-02-26/eng</x:v>
      </x:c>
      <x:c r="F9" s="45" t="str"/>
      <x:c r="G9" s="45" t="str">
        <x:v>结论与所引条文总体匹配；已补 EUR-Lex 官方法规来源。</x:v>
      </x:c>
    </x:row>
    <x:row r="10" ht="38" customHeight="1">
      <x:c r="A10" s="46" t="n">
        <x:v>9</x:v>
      </x:c>
      <x:c r="B10" s="45" t="str">
        <x:v>C1-1F29D72929</x:v>
      </x:c>
      <x:c r="C10" s="46" t="str">
        <x:v>通过（补法源）</x:v>
      </x:c>
      <x:c r="D10" s="45" t="str">
        <x:v>Art.7(1)(b);Art.4(1)</x:v>
      </x:c>
      <x:c r="E10" s="45" t="str">
        <x:v>https://eur-lex.europa.eu/eli/reg/2012/1215/2015-02-26/eng</x:v>
      </x:c>
      <x:c r="F10" s="45" t="str"/>
      <x:c r="G10" s="45" t="str">
        <x:v>结论与所引条文总体匹配；已补 EUR-Lex 官方法规来源。</x:v>
      </x:c>
    </x:row>
    <x:row r="11" ht="38" customHeight="1">
      <x:c r="A11" s="46" t="n">
        <x:v>10</x:v>
      </x:c>
      <x:c r="B11" s="45" t="str">
        <x:v>C1-BF71373D93</x:v>
      </x:c>
      <x:c r="C11" s="46" t="str">
        <x:v>通过（补法源）</x:v>
      </x:c>
      <x:c r="D11" s="45" t="str">
        <x:v>Art.22(1);Art.26(2)</x:v>
      </x:c>
      <x:c r="E11" s="45" t="str">
        <x:v>https://eur-lex.europa.eu/eli/reg/2012/1215/2015-02-26/eng</x:v>
      </x:c>
      <x:c r="F11" s="45" t="str"/>
      <x:c r="G11" s="45" t="str">
        <x:v>结论与所引条文总体匹配；已补 EUR-Lex 官方法规来源。</x:v>
      </x:c>
    </x:row>
    <x:row r="12" ht="38" customHeight="1">
      <x:c r="A12" s="46" t="n">
        <x:v>11</x:v>
      </x:c>
      <x:c r="B12" s="45" t="str">
        <x:v>C1-063800907C</x:v>
      </x:c>
      <x:c r="C12" s="46" t="str">
        <x:v>通过（补法源）</x:v>
      </x:c>
      <x:c r="D12" s="45" t="str">
        <x:v>Art.29(1);Art.29(3)</x:v>
      </x:c>
      <x:c r="E12" s="45" t="str">
        <x:v>https://eur-lex.europa.eu/eli/reg/2012/1215/2015-02-26/eng</x:v>
      </x:c>
      <x:c r="F12" s="45" t="str">
        <x:v>https://eur-lex.europa.eu/legal-content/EN/ALL/?uri=CELEX:61992CJ0406</x:v>
      </x:c>
      <x:c r="G12" s="45" t="str">
        <x:v>Art.29 的同一诉因/对象判断由 C-406/92 Tatry 对消极确认与赔偿请求的关系提供关键解释。</x:v>
      </x:c>
    </x:row>
    <x:row r="13" ht="38" customHeight="1">
      <x:c r="A13" s="46" t="n">
        <x:v>12</x:v>
      </x:c>
      <x:c r="B13" s="45" t="str">
        <x:v>C1-84B8F59BCF</x:v>
      </x:c>
      <x:c r="C13" s="46" t="str">
        <x:v>通过（补法源）</x:v>
      </x:c>
      <x:c r="D13" s="45" t="str">
        <x:v>Art.24(4);Art.27</x:v>
      </x:c>
      <x:c r="E13" s="45" t="str">
        <x:v>https://eur-lex.europa.eu/eli/reg/2012/1215/2015-02-26/eng</x:v>
      </x:c>
      <x:c r="F13" s="45" t="str"/>
      <x:c r="G13" s="45" t="str">
        <x:v>结论与所引条文总体匹配；已补 EUR-Lex 官方法规来源。</x:v>
      </x:c>
    </x:row>
    <x:row r="14" ht="38" customHeight="1">
      <x:c r="A14" s="46" t="n">
        <x:v>13</x:v>
      </x:c>
      <x:c r="B14" s="45" t="str">
        <x:v>C1-8FF4474DA9</x:v>
      </x:c>
      <x:c r="C14" s="46" t="str">
        <x:v>通过（补法源）</x:v>
      </x:c>
      <x:c r="D14" s="45" t="str">
        <x:v>Art.7(2);Art.4(1)</x:v>
      </x:c>
      <x:c r="E14" s="45" t="str">
        <x:v>https://eur-lex.europa.eu/eli/reg/2012/1215/2015-02-26/eng</x:v>
      </x:c>
      <x:c r="F14" s="45" t="str">
        <x:v>https://eur-lex.europa.eu/legal-content/EN/TXT/?uri=CELEX:62013CJ0045</x:v>
      </x:c>
      <x:c r="G14" s="45" t="str">
        <x:v>结论与所引条文总体匹配；已补 EUR-Lex 官方法规来源。</x:v>
      </x:c>
    </x:row>
    <x:row r="15" ht="38" customHeight="1">
      <x:c r="A15" s="46" t="n">
        <x:v>14</x:v>
      </x:c>
      <x:c r="B15" s="45" t="str">
        <x:v>C1-938E939ECA</x:v>
      </x:c>
      <x:c r="C15" s="46" t="str">
        <x:v>通过（补法源）</x:v>
      </x:c>
      <x:c r="D15" s="45" t="str">
        <x:v>Art.4(1)</x:v>
      </x:c>
      <x:c r="E15" s="45" t="str">
        <x:v>https://eur-lex.europa.eu/eli/reg/2012/1215/2015-02-26/eng</x:v>
      </x:c>
      <x:c r="F15" s="45" t="str"/>
      <x:c r="G15" s="45" t="str">
        <x:v>结论与所引条文总体匹配；已补 EUR-Lex 官方法规来源。</x:v>
      </x:c>
    </x:row>
    <x:row r="16" ht="38" customHeight="1">
      <x:c r="A16" s="47" t="n">
        <x:v>15</x:v>
      </x:c>
      <x:c r="B16" s="48" t="str">
        <x:v>C1-64A33C0BBA</x:v>
      </x:c>
      <x:c r="C16" s="47" t="str">
        <x:v>修订</x:v>
      </x:c>
      <x:c r="D16" s="48" t="str">
        <x:v>Art.29(1);Art.29(3)</x:v>
      </x:c>
      <x:c r="E16" s="48" t="str">
        <x:v>https://eur-lex.europa.eu/eli/reg/2012/1215/2015-02-26/eng</x:v>
      </x:c>
      <x:c r="F16" s="48" t="str"/>
      <x:c r="G16" s="48" t="str">
        <x:v>改为事实不足：先受理法院否认管辖只解除 Art.29 障碍，不能自动赋予第二法院管辖。</x:v>
      </x:c>
    </x:row>
    <x:row r="17" ht="38" customHeight="1">
      <x:c r="A17" s="46" t="n">
        <x:v>16</x:v>
      </x:c>
      <x:c r="B17" s="45" t="str">
        <x:v>C1-00B9C3B5EC</x:v>
      </x:c>
      <x:c r="C17" s="46" t="str">
        <x:v>通过（补法源）</x:v>
      </x:c>
      <x:c r="D17" s="45" t="str">
        <x:v>Art.4(1);Art.7(1)(a)</x:v>
      </x:c>
      <x:c r="E17" s="45" t="str">
        <x:v>https://eur-lex.europa.eu/eli/reg/2012/1215/2015-02-26/eng</x:v>
      </x:c>
      <x:c r="F17" s="45" t="str"/>
      <x:c r="G17" s="45" t="str">
        <x:v>结论与所引条文总体匹配；已补 EUR-Lex 官方法规来源。</x:v>
      </x:c>
    </x:row>
    <x:row r="18" ht="38" customHeight="1">
      <x:c r="A18" s="46" t="n">
        <x:v>17</x:v>
      </x:c>
      <x:c r="B18" s="45" t="str">
        <x:v>C1-8B0E009BBE</x:v>
      </x:c>
      <x:c r="C18" s="46" t="str">
        <x:v>通过（补法源）</x:v>
      </x:c>
      <x:c r="D18" s="45" t="str">
        <x:v>Art.24(1);Art.27</x:v>
      </x:c>
      <x:c r="E18" s="45" t="str">
        <x:v>https://eur-lex.europa.eu/eli/reg/2012/1215/2015-02-26/eng</x:v>
      </x:c>
      <x:c r="F18" s="45" t="str"/>
      <x:c r="G18" s="45" t="str">
        <x:v>结论与所引条文总体匹配；已补 EUR-Lex 官方法规来源。</x:v>
      </x:c>
    </x:row>
    <x:row r="19" ht="38" customHeight="1">
      <x:c r="A19" s="46" t="n">
        <x:v>18</x:v>
      </x:c>
      <x:c r="B19" s="45" t="str">
        <x:v>C1-2E2B84E0F9</x:v>
      </x:c>
      <x:c r="C19" s="46" t="str">
        <x:v>通过（补法源）</x:v>
      </x:c>
      <x:c r="D19" s="45" t="str">
        <x:v>Art.25(1)</x:v>
      </x:c>
      <x:c r="E19" s="45" t="str">
        <x:v>https://eur-lex.europa.eu/eli/reg/2012/1215/2015-02-26/eng</x:v>
      </x:c>
      <x:c r="F19" s="45" t="str"/>
      <x:c r="G19" s="45" t="str">
        <x:v>结论与所引条文总体匹配；已补 EUR-Lex 官方法规来源。</x:v>
      </x:c>
    </x:row>
    <x:row r="20" ht="38" customHeight="1">
      <x:c r="A20" s="46" t="n">
        <x:v>19</x:v>
      </x:c>
      <x:c r="B20" s="45" t="str">
        <x:v>C1-D071108F74</x:v>
      </x:c>
      <x:c r="C20" s="46" t="str">
        <x:v>通过（补法源）</x:v>
      </x:c>
      <x:c r="D20" s="45" t="str">
        <x:v>Art.29(1);Art.32(1)</x:v>
      </x:c>
      <x:c r="E20" s="45" t="str">
        <x:v>https://eur-lex.europa.eu/eli/reg/2012/1215/2015-02-26/eng</x:v>
      </x:c>
      <x:c r="F20" s="45" t="str"/>
      <x:c r="G20" s="45" t="str">
        <x:v>结论与所引条文总体匹配；已补 EUR-Lex 官方法规来源。</x:v>
      </x:c>
    </x:row>
    <x:row r="21" ht="38" customHeight="1">
      <x:c r="A21" s="46" t="n">
        <x:v>20</x:v>
      </x:c>
      <x:c r="B21" s="45" t="str">
        <x:v>C1-4B4B41C562</x:v>
      </x:c>
      <x:c r="C21" s="46" t="str">
        <x:v>通过（补法源）</x:v>
      </x:c>
      <x:c r="D21" s="45" t="str">
        <x:v>Art.24(1);Art.27</x:v>
      </x:c>
      <x:c r="E21" s="45" t="str">
        <x:v>https://eur-lex.europa.eu/eli/reg/2012/1215/2015-02-26/eng</x:v>
      </x:c>
      <x:c r="F21" s="45" t="str"/>
      <x:c r="G21" s="45" t="str">
        <x:v>结论与所引条文总体匹配；已补 EUR-Lex 官方法规来源。</x:v>
      </x:c>
    </x:row>
    <x:row r="22" ht="38" customHeight="1">
      <x:c r="A22" s="46" t="n">
        <x:v>21</x:v>
      </x:c>
      <x:c r="B22" s="45" t="str">
        <x:v>C1-DC4A0A0FA1</x:v>
      </x:c>
      <x:c r="C22" s="46" t="str">
        <x:v>通过（补法源）</x:v>
      </x:c>
      <x:c r="D22" s="45" t="str">
        <x:v>Art.24(2);Art.27</x:v>
      </x:c>
      <x:c r="E22" s="45" t="str">
        <x:v>https://eur-lex.europa.eu/eli/reg/2012/1215/2015-02-26/eng</x:v>
      </x:c>
      <x:c r="F22" s="45" t="str"/>
      <x:c r="G22" s="45" t="str">
        <x:v>结论与所引条文总体匹配；已补 EUR-Lex 官方法规来源。</x:v>
      </x:c>
    </x:row>
    <x:row r="23" ht="38" customHeight="1">
      <x:c r="A23" s="46" t="n">
        <x:v>22</x:v>
      </x:c>
      <x:c r="B23" s="45" t="str">
        <x:v>C1-58001C0F5E</x:v>
      </x:c>
      <x:c r="C23" s="46" t="str">
        <x:v>通过（补法源）</x:v>
      </x:c>
      <x:c r="D23" s="45" t="str">
        <x:v>Art.25(1)</x:v>
      </x:c>
      <x:c r="E23" s="45" t="str">
        <x:v>https://eur-lex.europa.eu/eli/reg/2012/1215/2015-02-26/eng</x:v>
      </x:c>
      <x:c r="F23" s="45" t="str"/>
      <x:c r="G23" s="45" t="str">
        <x:v>结论与所引条文总体匹配；已补 EUR-Lex 官方法规来源。</x:v>
      </x:c>
    </x:row>
    <x:row r="24" ht="38" customHeight="1">
      <x:c r="A24" s="46" t="n">
        <x:v>23</x:v>
      </x:c>
      <x:c r="B24" s="45" t="str">
        <x:v>C1-77062845C2</x:v>
      </x:c>
      <x:c r="C24" s="46" t="str">
        <x:v>通过（补法源）</x:v>
      </x:c>
      <x:c r="D24" s="45" t="str">
        <x:v>Art.26(1)</x:v>
      </x:c>
      <x:c r="E24" s="45" t="str">
        <x:v>https://eur-lex.europa.eu/eli/reg/2012/1215/2015-02-26/eng</x:v>
      </x:c>
      <x:c r="F24" s="45" t="str"/>
      <x:c r="G24" s="45" t="str">
        <x:v>结论与所引条文总体匹配；已补 EUR-Lex 官方法规来源。</x:v>
      </x:c>
    </x:row>
    <x:row r="25" ht="38" customHeight="1">
      <x:c r="A25" s="46" t="n">
        <x:v>24</x:v>
      </x:c>
      <x:c r="B25" s="45" t="str">
        <x:v>C1-C585DCD17A</x:v>
      </x:c>
      <x:c r="C25" s="46" t="str">
        <x:v>通过（补法源）</x:v>
      </x:c>
      <x:c r="D25" s="45" t="str">
        <x:v>Art.4(1);Art.26(1)</x:v>
      </x:c>
      <x:c r="E25" s="45" t="str">
        <x:v>https://eur-lex.europa.eu/eli/reg/2012/1215/2015-02-26/eng</x:v>
      </x:c>
      <x:c r="F25" s="45" t="str"/>
      <x:c r="G25" s="45" t="str">
        <x:v>关键连接点是住所（domicile）而非国籍；当前表内保留事实不足/条件式提示。</x:v>
      </x:c>
    </x:row>
    <x:row r="26" ht="38" customHeight="1">
      <x:c r="A26" s="46" t="n">
        <x:v>25</x:v>
      </x:c>
      <x:c r="B26" s="45" t="str">
        <x:v>C1-1336AB6661</x:v>
      </x:c>
      <x:c r="C26" s="46" t="str">
        <x:v>通过（补法源）</x:v>
      </x:c>
      <x:c r="D26" s="45" t="str">
        <x:v>Art.24(2);Art.27</x:v>
      </x:c>
      <x:c r="E26" s="45" t="str">
        <x:v>https://eur-lex.europa.eu/eli/reg/2012/1215/2015-02-26/eng</x:v>
      </x:c>
      <x:c r="F26" s="45" t="str"/>
      <x:c r="G26" s="45" t="str">
        <x:v>结论与所引条文总体匹配；已补 EUR-Lex 官方法规来源。</x:v>
      </x:c>
    </x:row>
    <x:row r="27" ht="38" customHeight="1">
      <x:c r="A27" s="46" t="n">
        <x:v>26</x:v>
      </x:c>
      <x:c r="B27" s="45" t="str">
        <x:v>C1-BB399E9CB4</x:v>
      </x:c>
      <x:c r="C27" s="46" t="str">
        <x:v>通过（补法源）</x:v>
      </x:c>
      <x:c r="D27" s="45" t="str">
        <x:v>Art.4(1)</x:v>
      </x:c>
      <x:c r="E27" s="45" t="str">
        <x:v>https://eur-lex.europa.eu/eli/reg/2012/1215/2015-02-26/eng</x:v>
      </x:c>
      <x:c r="F27" s="45" t="str"/>
      <x:c r="G27" s="45" t="str">
        <x:v>结论与所引条文总体匹配；已补 EUR-Lex 官方法规来源。</x:v>
      </x:c>
    </x:row>
    <x:row r="28" ht="38" customHeight="1">
      <x:c r="A28" s="46" t="n">
        <x:v>27</x:v>
      </x:c>
      <x:c r="B28" s="45" t="str">
        <x:v>C1-D0624595B3</x:v>
      </x:c>
      <x:c r="C28" s="46" t="str">
        <x:v>通过（补法源）</x:v>
      </x:c>
      <x:c r="D28" s="45" t="str">
        <x:v>Art.4(1);Art.63(1)(b)</x:v>
      </x:c>
      <x:c r="E28" s="45" t="str">
        <x:v>https://eur-lex.europa.eu/eli/reg/2012/1215/2015-02-26/eng</x:v>
      </x:c>
      <x:c r="F28" s="45" t="str"/>
      <x:c r="G28" s="45" t="str">
        <x:v>结论与所引条文总体匹配；已补 EUR-Lex 官方法规来源。</x:v>
      </x:c>
    </x:row>
    <x:row r="29" ht="38" customHeight="1">
      <x:c r="A29" s="46" t="n">
        <x:v>28</x:v>
      </x:c>
      <x:c r="B29" s="45" t="str">
        <x:v>C1-EFE89E257E</x:v>
      </x:c>
      <x:c r="C29" s="46" t="str">
        <x:v>通过（补法源）</x:v>
      </x:c>
      <x:c r="D29" s="45" t="str">
        <x:v>Art.4(1);Art.63(1)(a)-(c)</x:v>
      </x:c>
      <x:c r="E29" s="45" t="str">
        <x:v>https://eur-lex.europa.eu/eli/reg/2012/1215/2015-02-26/eng</x:v>
      </x:c>
      <x:c r="F29" s="45" t="str"/>
      <x:c r="G29" s="45" t="str">
        <x:v>结论与所引条文总体匹配；已补 EUR-Lex 官方法规来源。</x:v>
      </x:c>
    </x:row>
    <x:row r="30" ht="38" customHeight="1">
      <x:c r="A30" s="46" t="n">
        <x:v>29</x:v>
      </x:c>
      <x:c r="B30" s="45" t="str">
        <x:v>C1-2F95C95EBC</x:v>
      </x:c>
      <x:c r="C30" s="46" t="str">
        <x:v>通过（补法源）</x:v>
      </x:c>
      <x:c r="D30" s="45" t="str">
        <x:v>Art.18(2);Art.26(1)-(2)</x:v>
      </x:c>
      <x:c r="E30" s="45" t="str">
        <x:v>https://eur-lex.europa.eu/eli/reg/2012/1215/2015-02-26/eng</x:v>
      </x:c>
      <x:c r="F30" s="45" t="str">
        <x:v>https://eur-lex.europa.eu/legal-content/EN/TXT/?uri=CELEX:62023CJ0183</x:v>
      </x:c>
      <x:c r="G30" s="45" t="str">
        <x:v>Art.26(2) 的弱方告知义务需严格审查；C-183/23 对消费者被告的告知与应诉管辖有直接解释价值。</x:v>
      </x:c>
    </x:row>
    <x:row r="31" ht="38" customHeight="1">
      <x:c r="A31" s="46" t="n">
        <x:v>30</x:v>
      </x:c>
      <x:c r="B31" s="45" t="str">
        <x:v>C1-D0757EBF6D</x:v>
      </x:c>
      <x:c r="C31" s="46" t="str">
        <x:v>通过（补法源）</x:v>
      </x:c>
      <x:c r="D31" s="45" t="str">
        <x:v>Art.24(1);Art.26(1);Art.27</x:v>
      </x:c>
      <x:c r="E31" s="45" t="str">
        <x:v>https://eur-lex.europa.eu/eli/reg/2012/1215/2015-02-26/eng</x:v>
      </x:c>
      <x:c r="F31" s="45" t="str"/>
      <x:c r="G31" s="45" t="str">
        <x:v>结论与所引条文总体匹配；已补 EUR-Lex 官方法规来源。</x:v>
      </x:c>
    </x:row>
    <x:row r="32" ht="38" customHeight="1">
      <x:c r="A32" s="46" t="n">
        <x:v>31</x:v>
      </x:c>
      <x:c r="B32" s="45" t="str">
        <x:v>C1-155885A908</x:v>
      </x:c>
      <x:c r="C32" s="46" t="str">
        <x:v>通过（补法源）</x:v>
      </x:c>
      <x:c r="D32" s="45" t="str">
        <x:v>Art.24(1);Art.26(1);Art.27</x:v>
      </x:c>
      <x:c r="E32" s="45" t="str">
        <x:v>https://eur-lex.europa.eu/eli/reg/2012/1215/2015-02-26/eng</x:v>
      </x:c>
      <x:c r="F32" s="45" t="str"/>
      <x:c r="G32" s="45" t="str">
        <x:v>结论与所引条文总体匹配；已补 EUR-Lex 官方法规来源。</x:v>
      </x:c>
    </x:row>
    <x:row r="33" ht="38" customHeight="1">
      <x:c r="A33" s="46" t="n">
        <x:v>32</x:v>
      </x:c>
      <x:c r="B33" s="45" t="str">
        <x:v>C1-43B1941D98</x:v>
      </x:c>
      <x:c r="C33" s="46" t="str">
        <x:v>通过（补法源）</x:v>
      </x:c>
      <x:c r="D33" s="45" t="str">
        <x:v>Art.24(1);Art.25(4);Art.27</x:v>
      </x:c>
      <x:c r="E33" s="45" t="str">
        <x:v>https://eur-lex.europa.eu/eli/reg/2012/1215/2015-02-26/eng</x:v>
      </x:c>
      <x:c r="F33" s="45" t="str"/>
      <x:c r="G33" s="45" t="str">
        <x:v>结论与所引条文总体匹配；已补 EUR-Lex 官方法规来源。</x:v>
      </x:c>
    </x:row>
    <x:row r="34" ht="38" customHeight="1">
      <x:c r="A34" s="46" t="n">
        <x:v>33</x:v>
      </x:c>
      <x:c r="B34" s="45" t="str">
        <x:v>C1-5A19B9CD02</x:v>
      </x:c>
      <x:c r="C34" s="46" t="str">
        <x:v>通过（补法源）</x:v>
      </x:c>
      <x:c r="D34" s="45" t="str">
        <x:v>Art.25(1)</x:v>
      </x:c>
      <x:c r="E34" s="45" t="str">
        <x:v>https://eur-lex.europa.eu/eli/reg/2012/1215/2015-02-26/eng</x:v>
      </x:c>
      <x:c r="F34" s="45" t="str"/>
      <x:c r="G34" s="45" t="str">
        <x:v>结论与所引条文总体匹配；已补 EUR-Lex 官方法规来源。</x:v>
      </x:c>
    </x:row>
    <x:row r="35" ht="38" customHeight="1">
      <x:c r="A35" s="46" t="n">
        <x:v>34</x:v>
      </x:c>
      <x:c r="B35" s="45" t="str">
        <x:v>C1-50A852035B</x:v>
      </x:c>
      <x:c r="C35" s="46" t="str">
        <x:v>通过（补法源）</x:v>
      </x:c>
      <x:c r="D35" s="45" t="str">
        <x:v>Art.18(2);Art.26(2)</x:v>
      </x:c>
      <x:c r="E35" s="45" t="str">
        <x:v>https://eur-lex.europa.eu/eli/reg/2012/1215/2015-02-26/eng</x:v>
      </x:c>
      <x:c r="F35" s="45" t="str">
        <x:v>https://eur-lex.europa.eu/legal-content/EN/TXT/?uri=CELEX:62023CJ0183</x:v>
      </x:c>
      <x:c r="G35" s="45" t="str">
        <x:v>Art.26(2) 的弱方告知义务需严格审查；C-183/23 对消费者被告的告知与应诉管辖有直接解释价值。</x:v>
      </x:c>
    </x:row>
    <x:row r="36" ht="38" customHeight="1">
      <x:c r="A36" s="46" t="n">
        <x:v>35</x:v>
      </x:c>
      <x:c r="B36" s="45" t="str">
        <x:v>C1-C468156657</x:v>
      </x:c>
      <x:c r="C36" s="46" t="str">
        <x:v>通过（补法源）</x:v>
      </x:c>
      <x:c r="D36" s="45" t="str">
        <x:v>Art.25(1);Art.31(2)-(3);Withdrawal Agreement Art.67(1)(a)</x:v>
      </x:c>
      <x:c r="E36" s="45" t="str">
        <x:v>https://eur-lex.europa.eu/eli/reg/2012/1215/2015-02-26/eng</x:v>
      </x:c>
      <x:c r="F36" s="45" t="str">
        <x:v>https://eur-lex.europa.eu/eli/treaty/withd_2020/2023-09-29/eng</x:v>
      </x:c>
      <x:c r="G36" s="45" t="str">
        <x:v>英国相关案件必须同时核对 Withdrawal Agreement Art.67(1)(a) 的过渡期时间条件。</x:v>
      </x:c>
    </x:row>
    <x:row r="37" ht="38" customHeight="1">
      <x:c r="A37" s="46" t="n">
        <x:v>36</x:v>
      </x:c>
      <x:c r="B37" s="45" t="str">
        <x:v>C1-84ECCAD468</x:v>
      </x:c>
      <x:c r="C37" s="46" t="str">
        <x:v>通过（补法源）</x:v>
      </x:c>
      <x:c r="D37" s="45" t="str">
        <x:v>Art.4(1);Art.6(1);Art.62(1)-(2)</x:v>
      </x:c>
      <x:c r="E37" s="45" t="str">
        <x:v>https://eur-lex.europa.eu/eli/reg/2012/1215/2015-02-26/eng</x:v>
      </x:c>
      <x:c r="F37" s="45" t="str"/>
      <x:c r="G37" s="45" t="str">
        <x:v>结论与所引条文总体匹配；已补 EUR-Lex 官方法规来源。</x:v>
      </x:c>
    </x:row>
    <x:row r="38" ht="38" customHeight="1">
      <x:c r="A38" s="46" t="n">
        <x:v>37</x:v>
      </x:c>
      <x:c r="B38" s="45" t="str">
        <x:v>C1-106302E2CC</x:v>
      </x:c>
      <x:c r="C38" s="46" t="str">
        <x:v>通过（补法源）</x:v>
      </x:c>
      <x:c r="D38" s="45" t="str">
        <x:v>Art.7(1)(b);Art.4(1)</x:v>
      </x:c>
      <x:c r="E38" s="45" t="str">
        <x:v>https://eur-lex.europa.eu/eli/reg/2012/1215/2015-02-26/eng</x:v>
      </x:c>
      <x:c r="F38" s="45" t="str"/>
      <x:c r="G38" s="45" t="str">
        <x:v>结论与所引条文总体匹配；已补 EUR-Lex 官方法规来源。</x:v>
      </x:c>
    </x:row>
    <x:row r="39" ht="38" customHeight="1">
      <x:c r="A39" s="46" t="n">
        <x:v>38</x:v>
      </x:c>
      <x:c r="B39" s="45" t="str">
        <x:v>C1-B1EE7B0341</x:v>
      </x:c>
      <x:c r="C39" s="46" t="str">
        <x:v>通过（补法源）</x:v>
      </x:c>
      <x:c r="D39" s="45" t="str">
        <x:v>Art.29(1);Art.32(1)</x:v>
      </x:c>
      <x:c r="E39" s="45" t="str">
        <x:v>https://eur-lex.europa.eu/eli/reg/2012/1215/2015-02-26/eng</x:v>
      </x:c>
      <x:c r="F39" s="45" t="str"/>
      <x:c r="G39" s="45" t="str">
        <x:v>结论与所引条文总体匹配；已补 EUR-Lex 官方法规来源。</x:v>
      </x:c>
    </x:row>
    <x:row r="40" ht="38" customHeight="1">
      <x:c r="A40" s="47" t="n">
        <x:v>39</x:v>
      </x:c>
      <x:c r="B40" s="48" t="str">
        <x:v>C1-CA5F6D7E45</x:v>
      </x:c>
      <x:c r="C40" s="47" t="str">
        <x:v>修订</x:v>
      </x:c>
      <x:c r="D40" s="48" t="str">
        <x:v>Art.29(1);Art.29(3)</x:v>
      </x:c>
      <x:c r="E40" s="48" t="str">
        <x:v>https://eur-lex.europa.eu/eli/reg/2012/1215/2015-02-26/eng</x:v>
      </x:c>
      <x:c r="F40" s="48" t="str"/>
      <x:c r="G40" s="48" t="str">
        <x:v>改为事实不足：先受理法院否认管辖只解除 Art.29 障碍，第二法院仍需独立管辖基础。</x:v>
      </x:c>
    </x:row>
    <x:row r="41" ht="38" customHeight="1">
      <x:c r="A41" s="46" t="n">
        <x:v>40</x:v>
      </x:c>
      <x:c r="B41" s="45" t="str">
        <x:v>C1-52CA2C9B06</x:v>
      </x:c>
      <x:c r="C41" s="46" t="str">
        <x:v>通过（补法源）</x:v>
      </x:c>
      <x:c r="D41" s="45" t="str">
        <x:v>Art.7(1)(b);Art.4(1)</x:v>
      </x:c>
      <x:c r="E41" s="45" t="str">
        <x:v>https://eur-lex.europa.eu/eli/reg/2012/1215/2015-02-26/eng</x:v>
      </x:c>
      <x:c r="F41" s="45" t="str"/>
      <x:c r="G41" s="45" t="str">
        <x:v>结论与所引条文总体匹配；已补 EUR-Lex 官方法规来源。</x:v>
      </x:c>
    </x:row>
    <x:row r="42" ht="38" customHeight="1">
      <x:c r="A42" s="47" t="n">
        <x:v>41</x:v>
      </x:c>
      <x:c r="B42" s="48" t="str">
        <x:v>C1-AE2853C1A2</x:v>
      </x:c>
      <x:c r="C42" s="47" t="str">
        <x:v>修订</x:v>
      </x:c>
      <x:c r="D42" s="48" t="str">
        <x:v>Art.24(1);Art.27</x:v>
      </x:c>
      <x:c r="E42" s="48" t="str">
        <x:v>https://eur-lex.europa.eu/eli/reg/2012/1215/2015-02-26/eng</x:v>
      </x:c>
      <x:c r="F42" s="48" t="str">
        <x:v>https://eur-lex.europa.eu/legal-content/EN/TXT/?uri=CELEX:62015CJ0417</x:v>
      </x:c>
      <x:c r="G42" s="48" t="str">
        <x:v>删除 Art.24(3)：登记更正涉及不动产所有权，依 Art.24(1)；C-417/15 Schmidt 直接支持。</x:v>
      </x:c>
    </x:row>
    <x:row r="43" ht="38" customHeight="1">
      <x:c r="A43" s="46" t="n">
        <x:v>42</x:v>
      </x:c>
      <x:c r="B43" s="45" t="str">
        <x:v>C1-01093C62FE</x:v>
      </x:c>
      <x:c r="C43" s="46" t="str">
        <x:v>通过（补法源）</x:v>
      </x:c>
      <x:c r="D43" s="45" t="str">
        <x:v>Art.30;Art.34;Withdrawal Agreement Art.67(1)(a)</x:v>
      </x:c>
      <x:c r="E43" s="45" t="str">
        <x:v>https://eur-lex.europa.eu/eli/reg/2012/1215/2015-02-26/eng</x:v>
      </x:c>
      <x:c r="F43" s="45" t="str">
        <x:v>https://eur-lex.europa.eu/eli/treaty/withd_2020/2023-09-29/eng</x:v>
      </x:c>
      <x:c r="G43" s="45" t="str">
        <x:v>英国相关案件必须同时核对 Withdrawal Agreement Art.67(1)(a) 的过渡期时间条件。</x:v>
      </x:c>
    </x:row>
    <x:row r="44" ht="38" customHeight="1">
      <x:c r="A44" s="46" t="n">
        <x:v>43</x:v>
      </x:c>
      <x:c r="B44" s="45" t="str">
        <x:v>C1-2864AB221F</x:v>
      </x:c>
      <x:c r="C44" s="46" t="str">
        <x:v>通过（补法源）</x:v>
      </x:c>
      <x:c r="D44" s="45" t="str">
        <x:v>Art.7(2);Art.4(1)</x:v>
      </x:c>
      <x:c r="E44" s="45" t="str">
        <x:v>https://eur-lex.europa.eu/eli/reg/2012/1215/2015-02-26/eng</x:v>
      </x:c>
      <x:c r="F44" s="45" t="str"/>
      <x:c r="G44" s="45" t="str">
        <x:v>关键连接点是住所（domicile）而非国籍；当前表内保留事实不足/条件式提示。</x:v>
      </x:c>
    </x:row>
    <x:row r="45" ht="38" customHeight="1">
      <x:c r="A45" s="46" t="n">
        <x:v>44</x:v>
      </x:c>
      <x:c r="B45" s="45" t="str">
        <x:v>C1-1A6BCA3531</x:v>
      </x:c>
      <x:c r="C45" s="46" t="str">
        <x:v>通过（补法源）</x:v>
      </x:c>
      <x:c r="D45" s="45" t="str">
        <x:v>Art.28(1)-(2)</x:v>
      </x:c>
      <x:c r="E45" s="45" t="str">
        <x:v>https://eur-lex.europa.eu/eli/reg/2012/1215/2015-02-26/eng</x:v>
      </x:c>
      <x:c r="F45" s="45" t="str"/>
      <x:c r="G45" s="45" t="str">
        <x:v>结论与所引条文总体匹配；已补 EUR-Lex 官方法规来源。</x:v>
      </x:c>
    </x:row>
    <x:row r="46" ht="38" customHeight="1">
      <x:c r="A46" s="46" t="n">
        <x:v>45</x:v>
      </x:c>
      <x:c r="B46" s="45" t="str">
        <x:v>C1-CD218F19B5</x:v>
      </x:c>
      <x:c r="C46" s="46" t="str">
        <x:v>通过（补法源）</x:v>
      </x:c>
      <x:c r="D46" s="45" t="str">
        <x:v>Art.26(1)</x:v>
      </x:c>
      <x:c r="E46" s="45" t="str">
        <x:v>https://eur-lex.europa.eu/eli/reg/2012/1215/2015-02-26/eng</x:v>
      </x:c>
      <x:c r="F46" s="45" t="str"/>
      <x:c r="G46" s="45" t="str">
        <x:v>结论与所引条文总体匹配；已补 EUR-Lex 官方法规来源。</x:v>
      </x:c>
    </x:row>
    <x:row r="47" ht="38" customHeight="1">
      <x:c r="A47" s="46" t="n">
        <x:v>46</x:v>
      </x:c>
      <x:c r="B47" s="45" t="str">
        <x:v>C1-B385A27ED8</x:v>
      </x:c>
      <x:c r="C47" s="46" t="str">
        <x:v>通过（补法源）</x:v>
      </x:c>
      <x:c r="D47" s="45" t="str">
        <x:v>Art.25(1)</x:v>
      </x:c>
      <x:c r="E47" s="45" t="str">
        <x:v>https://eur-lex.europa.eu/eli/reg/2012/1215/2015-02-26/eng</x:v>
      </x:c>
      <x:c r="F47" s="45" t="str"/>
      <x:c r="G47" s="45" t="str">
        <x:v>结论与所引条文总体匹配；已补 EUR-Lex 官方法规来源。</x:v>
      </x:c>
    </x:row>
    <x:row r="48" ht="38" customHeight="1">
      <x:c r="A48" s="46" t="n">
        <x:v>47</x:v>
      </x:c>
      <x:c r="B48" s="45" t="str">
        <x:v>C1-0C33CF2A47</x:v>
      </x:c>
      <x:c r="C48" s="46" t="str">
        <x:v>通过（补法源）</x:v>
      </x:c>
      <x:c r="D48" s="45" t="str">
        <x:v>Art.7(5);Art.4(1)</x:v>
      </x:c>
      <x:c r="E48" s="45" t="str">
        <x:v>https://eur-lex.europa.eu/eli/reg/2012/1215/2015-02-26/eng</x:v>
      </x:c>
      <x:c r="F48" s="45" t="str"/>
      <x:c r="G48" s="45" t="str">
        <x:v>结论与所引条文总体匹配；已补 EUR-Lex 官方法规来源。</x:v>
      </x:c>
    </x:row>
    <x:row r="49" ht="38" customHeight="1">
      <x:c r="A49" s="46" t="n">
        <x:v>48</x:v>
      </x:c>
      <x:c r="B49" s="45" t="str">
        <x:v>C1-0C732FAF2B</x:v>
      </x:c>
      <x:c r="C49" s="46" t="str">
        <x:v>通过（补法源）</x:v>
      </x:c>
      <x:c r="D49" s="45" t="str">
        <x:v>Art.30(1);Art.30(3)</x:v>
      </x:c>
      <x:c r="E49" s="45" t="str">
        <x:v>https://eur-lex.europa.eu/eli/reg/2012/1215/2015-02-26/eng</x:v>
      </x:c>
      <x:c r="F49" s="45" t="str"/>
      <x:c r="G49" s="45" t="str">
        <x:v>Art.30 是相关诉讼的裁量中止/放弃，不等同 Art.29 的强制 lis pendens；类型栏受既有原子标签限制。</x:v>
      </x:c>
    </x:row>
    <x:row r="50" ht="38" customHeight="1">
      <x:c r="A50" s="46" t="n">
        <x:v>49</x:v>
      </x:c>
      <x:c r="B50" s="45" t="str">
        <x:v>C1-687092448B</x:v>
      </x:c>
      <x:c r="C50" s="46" t="str">
        <x:v>通过（补法源）</x:v>
      </x:c>
      <x:c r="D50" s="45" t="str">
        <x:v>Art.4(1);Art.18(1);Art.19;Art.25(4)</x:v>
      </x:c>
      <x:c r="E50" s="45" t="str">
        <x:v>https://eur-lex.europa.eu/eli/reg/2012/1215/2015-02-26/eng</x:v>
      </x:c>
      <x:c r="F50" s="45" t="str"/>
      <x:c r="G50" s="45" t="str">
        <x:v>结论与所引条文总体匹配；已补 EUR-Lex 官方法规来源。</x:v>
      </x:c>
    </x:row>
    <x:row r="51" ht="38" customHeight="1">
      <x:c r="A51" s="46" t="n">
        <x:v>50</x:v>
      </x:c>
      <x:c r="B51" s="45" t="str">
        <x:v>C1-D39E6130BB</x:v>
      </x:c>
      <x:c r="C51" s="46" t="str">
        <x:v>通过（补法源）</x:v>
      </x:c>
      <x:c r="D51" s="45" t="str">
        <x:v>Art.7(5);Art.4(1)</x:v>
      </x:c>
      <x:c r="E51" s="45" t="str">
        <x:v>https://eur-lex.europa.eu/eli/reg/2012/1215/2015-02-26/eng</x:v>
      </x:c>
      <x:c r="F51" s="45" t="str"/>
      <x:c r="G51" s="45" t="str">
        <x:v>结论与所引条文总体匹配；已补 EUR-Lex 官方法规来源。</x:v>
      </x:c>
    </x:row>
    <x:row r="52" ht="38" customHeight="1">
      <x:c r="A52" s="46" t="n">
        <x:v>51</x:v>
      </x:c>
      <x:c r="B52" s="45" t="str">
        <x:v>C1-551970B4BC</x:v>
      </x:c>
      <x:c r="C52" s="46" t="str">
        <x:v>通过（补法源）</x:v>
      </x:c>
      <x:c r="D52" s="45" t="str">
        <x:v>Art.25(1)</x:v>
      </x:c>
      <x:c r="E52" s="45" t="str">
        <x:v>https://eur-lex.europa.eu/eli/reg/2012/1215/2015-02-26/eng</x:v>
      </x:c>
      <x:c r="F52" s="45" t="str"/>
      <x:c r="G52" s="45" t="str">
        <x:v>结论与所引条文总体匹配；已补 EUR-Lex 官方法规来源。</x:v>
      </x:c>
    </x:row>
    <x:row r="53" ht="38" customHeight="1">
      <x:c r="A53" s="46" t="n">
        <x:v>52</x:v>
      </x:c>
      <x:c r="B53" s="45" t="str">
        <x:v>C1-A28D53FC6D</x:v>
      </x:c>
      <x:c r="C53" s="46" t="str">
        <x:v>通过（补法源）</x:v>
      </x:c>
      <x:c r="D53" s="45" t="str">
        <x:v>Art.7(1)(b);Art.4(1)</x:v>
      </x:c>
      <x:c r="E53" s="45" t="str">
        <x:v>https://eur-lex.europa.eu/eli/reg/2012/1215/2015-02-26/eng</x:v>
      </x:c>
      <x:c r="F53" s="45" t="str"/>
      <x:c r="G53" s="45" t="str">
        <x:v>结论与所引条文总体匹配；已补 EUR-Lex 官方法规来源。</x:v>
      </x:c>
    </x:row>
    <x:row r="54" ht="38" customHeight="1">
      <x:c r="A54" s="46" t="n">
        <x:v>53</x:v>
      </x:c>
      <x:c r="B54" s="45" t="str">
        <x:v>C1-B5B410B615</x:v>
      </x:c>
      <x:c r="C54" s="46" t="str">
        <x:v>通过（补法源）</x:v>
      </x:c>
      <x:c r="D54" s="45" t="str">
        <x:v>Regulation (EU) 2017/1001 Art.59-60;Art.63(1);Art.124(d);Art.128(1)</x:v>
      </x:c>
      <x:c r="E54" s="45" t="str">
        <x:v>https://eur-lex.europa.eu/eli/reg/2017/1001/oj/eng</x:v>
      </x:c>
      <x:c r="F54" s="45" t="str"/>
      <x:c r="G54" s="45" t="str">
        <x:v>欧盟商标独立无效申请原则上向 EUIPO 提出；EU 商标法院的无效权限主要通过侵权诉讼中的反诉体现（EUTMR Arts.63, 124(d), 128）。</x:v>
      </x:c>
    </x:row>
    <x:row r="55" ht="38" customHeight="1">
      <x:c r="A55" s="46" t="n">
        <x:v>54</x:v>
      </x:c>
      <x:c r="B55" s="45" t="str">
        <x:v>C1-C0B9BBF4DF</x:v>
      </x:c>
      <x:c r="C55" s="46" t="str">
        <x:v>通过（补法源）</x:v>
      </x:c>
      <x:c r="D55" s="45" t="str">
        <x:v>Art.25(1)-(2)</x:v>
      </x:c>
      <x:c r="E55" s="45" t="str">
        <x:v>https://eur-lex.europa.eu/eli/reg/2012/1215/2015-02-26/eng</x:v>
      </x:c>
      <x:c r="F55" s="45" t="str"/>
      <x:c r="G55" s="45" t="str">
        <x:v>结论与所引条文总体匹配；已补 EUR-Lex 官方法规来源。</x:v>
      </x:c>
    </x:row>
    <x:row r="56" ht="38" customHeight="1">
      <x:c r="A56" s="46" t="n">
        <x:v>55</x:v>
      </x:c>
      <x:c r="B56" s="45" t="str">
        <x:v>C1-51E570CD8D</x:v>
      </x:c>
      <x:c r="C56" s="46" t="str">
        <x:v>通过（补法源）</x:v>
      </x:c>
      <x:c r="D56" s="45" t="str">
        <x:v>Art.28(1)-(2)</x:v>
      </x:c>
      <x:c r="E56" s="45" t="str">
        <x:v>https://eur-lex.europa.eu/eli/reg/2012/1215/2015-02-26/eng</x:v>
      </x:c>
      <x:c r="F56" s="45" t="str"/>
      <x:c r="G56" s="45" t="str">
        <x:v>结论与所引条文总体匹配；已补 EUR-Lex 官方法规来源。</x:v>
      </x:c>
    </x:row>
    <x:row r="57" ht="38" customHeight="1">
      <x:c r="A57" s="46" t="n">
        <x:v>56</x:v>
      </x:c>
      <x:c r="B57" s="45" t="str">
        <x:v>C1-0A4657193D</x:v>
      </x:c>
      <x:c r="C57" s="46" t="str">
        <x:v>通过（补法源）</x:v>
      </x:c>
      <x:c r="D57" s="45" t="str">
        <x:v>Art.6(1)</x:v>
      </x:c>
      <x:c r="E57" s="45" t="str">
        <x:v>https://eur-lex.europa.eu/eli/reg/2012/1215/2015-02-26/eng</x:v>
      </x:c>
      <x:c r="F57" s="45" t="str"/>
      <x:c r="G57" s="45" t="str">
        <x:v>结论与所引条文总体匹配；已补 EUR-Lex 官方法规来源。</x:v>
      </x:c>
    </x:row>
    <x:row r="58" ht="38" customHeight="1">
      <x:c r="A58" s="46" t="n">
        <x:v>57</x:v>
      </x:c>
      <x:c r="B58" s="45" t="str">
        <x:v>C1-71A6586DA9</x:v>
      </x:c>
      <x:c r="C58" s="46" t="str">
        <x:v>通过（补法源）</x:v>
      </x:c>
      <x:c r="D58" s="45" t="str">
        <x:v>Art.4(1)</x:v>
      </x:c>
      <x:c r="E58" s="45" t="str">
        <x:v>https://eur-lex.europa.eu/eli/reg/2012/1215/2015-02-26/eng</x:v>
      </x:c>
      <x:c r="F58" s="45" t="str"/>
      <x:c r="G58" s="45" t="str">
        <x:v>结论与所引条文总体匹配；已补 EUR-Lex 官方法规来源。</x:v>
      </x:c>
    </x:row>
    <x:row r="59" ht="38" customHeight="1">
      <x:c r="A59" s="46" t="n">
        <x:v>58</x:v>
      </x:c>
      <x:c r="B59" s="45" t="str">
        <x:v>C1-FD95C82ACD</x:v>
      </x:c>
      <x:c r="C59" s="46" t="str">
        <x:v>通过（补法源）</x:v>
      </x:c>
      <x:c r="D59" s="45" t="str">
        <x:v>Art.29(1);Art.29(3)</x:v>
      </x:c>
      <x:c r="E59" s="45" t="str">
        <x:v>https://eur-lex.europa.eu/eli/reg/2012/1215/2015-02-26/eng</x:v>
      </x:c>
      <x:c r="F59" s="45" t="str">
        <x:v>https://eur-lex.europa.eu/legal-content/EN/ALL/?uri=CELEX:61992CJ0406</x:v>
      </x:c>
      <x:c r="G59" s="45" t="str">
        <x:v>Art.29 的同一诉因/对象判断由 C-406/92 Tatry 对消极确认与赔偿请求的关系提供关键解释。</x:v>
      </x:c>
    </x:row>
    <x:row r="60" ht="38" customHeight="1">
      <x:c r="A60" s="46" t="n">
        <x:v>59</x:v>
      </x:c>
      <x:c r="B60" s="45" t="str">
        <x:v>C1-8DBDFB90CC</x:v>
      </x:c>
      <x:c r="C60" s="46" t="str">
        <x:v>通过（补法源）</x:v>
      </x:c>
      <x:c r="D60" s="45" t="str">
        <x:v>Art.4(1);Art.6(1);Art.62(1)</x:v>
      </x:c>
      <x:c r="E60" s="45" t="str">
        <x:v>https://eur-lex.europa.eu/eli/reg/2012/1215/2015-02-26/eng</x:v>
      </x:c>
      <x:c r="F60" s="45" t="str"/>
      <x:c r="G60" s="45" t="str">
        <x:v>关键连接点是住所（domicile）而非国籍；当前表内保留事实不足/条件式提示。</x:v>
      </x:c>
    </x:row>
    <x:row r="61" ht="38" customHeight="1">
      <x:c r="A61" s="47" t="n">
        <x:v>60</x:v>
      </x:c>
      <x:c r="B61" s="48" t="str">
        <x:v>C1-34DE397D43</x:v>
      </x:c>
      <x:c r="C61" s="47" t="str">
        <x:v>修订</x:v>
      </x:c>
      <x:c r="D61" s="48" t="str">
        <x:v>Art.24(5);Art.41(1)-(2)</x:v>
      </x:c>
      <x:c r="E61" s="48" t="str">
        <x:v>https://eur-lex.europa.eu/eli/reg/2012/1215/2015-02-26/eng</x:v>
      </x:c>
      <x:c r="F61" s="48" t="str"/>
      <x:c r="G61" s="48" t="str">
        <x:v>将一般执行异议依据从 Art.47(1) 改为 Art.41(1)-(2)；拒绝执行程序再适用 Arts.46-47。</x:v>
      </x:c>
    </x:row>
  </x:sheetData>
  <x:pageMargins left="0.7" right="0.7" top="0.75" bottom="0.75" header="0.3" footer="0.3"/>
</x:worksheet>
</file>