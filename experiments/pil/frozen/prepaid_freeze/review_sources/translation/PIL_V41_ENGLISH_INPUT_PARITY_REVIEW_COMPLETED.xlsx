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2613e71fde4e46" /></Relationships>
</file>

<file path=xl/workbook.xml><?xml version="1.0" encoding="utf-8"?>
<x:workbook xmlns:x="http://schemas.openxmlformats.org/spreadsheetml/2006/main">
  <x:sheets>
    <x:sheet xmlns:r="http://schemas.openxmlformats.org/officeDocument/2006/relationships" name="Instructions" sheetId="1" r:id="R29cdcb2de604482c"/>
    <x:sheet xmlns:r="http://schemas.openxmlformats.org/officeDocument/2006/relationships" name="Case parity" sheetId="2" r:id="Rd4e99c94cf0b42a0"/>
    <x:sheet xmlns:r="http://schemas.openxmlformats.org/officeDocument/2006/relationships" name="Evidence parity" sheetId="3" r:id="Rf9b2764016d24d1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0"/>
      <x:name val="Arial"/>
    </x:font>
    <x:font>
      <x:b/>
      <x:sz val="15"/>
      <x:color rgb="FF1F2937"/>
      <x:name val="Arial"/>
    </x:font>
    <x:font>
      <x:i/>
      <x:sz val="10"/>
      <x:color rgb="FF4B5563"/>
      <x:name val="Arial"/>
    </x:font>
    <x:font>
      <x:b/>
      <x:sz val="10"/>
      <x:color rgb="FF1F2937"/>
      <x:name val="Arial"/>
    </x:font>
    <x:font>
      <x:b/>
      <x:sz val="10"/>
      <x:color rgb="FFFFFFFF"/>
      <x:name val="Arial"/>
    </x:font>
  </x:fonts>
  <x:fills count="4">
    <x:fill>
      <x:patternFill patternType="none"/>
    </x:fill>
    <x:fill>
      <x:patternFill patternType="gray125"/>
    </x:fill>
    <x:fill>
      <x:patternFill patternType="solid">
        <x:fgColor rgb="FF1F4E78"/>
      </x:patternFill>
    </x:fill>
    <x:fill>
      <x:patternFill patternType="solid">
        <x:fgColor rgb="FFFFF7D6"/>
      </x:patternFill>
    </x:fill>
  </x:fills>
  <x:borders count="8">
    <x:border/>
    <x:border>
      <x:bottom style="thin">
        <x:color rgb="FF9CA3AF"/>
      </x:bottom>
    </x:border>
    <x:border>
      <x:right style="thin">
        <x:color rgb="FFFFFFFF"/>
      </x:right>
    </x:border>
    <x:border>
      <x:left style="thin">
        <x:color rgb="FFFFFFFF"/>
      </x:left>
      <x:right style="thin">
        <x:color rgb="FFFFFFFF"/>
      </x:right>
    </x:border>
    <x:border>
      <x:left style="thin">
        <x:color rgb="FFFFFFFF"/>
      </x:left>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5" fillId="2"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2" fillId="0" borderId="1" xfId="0" applyNumberFormat="1" applyFont="1" applyFill="1" applyBorder="1" applyAlignment="1">
      <x:alignment vertical="top" wrapText="0"/>
    </x:xf>
    <x:xf numFmtId="0" fontId="5" fillId="2" borderId="2" xfId="0" applyNumberFormat="1" applyFont="1" applyFill="1" applyBorder="1" applyAlignment="1">
      <x:alignment vertical="top"/>
    </x:xf>
    <x:xf numFmtId="0" fontId="5" fillId="2" borderId="3" xfId="0" applyNumberFormat="1" applyFont="1" applyFill="1" applyBorder="1" applyAlignment="1">
      <x:alignment vertical="top"/>
    </x:xf>
    <x:xf numFmtId="0" fontId="5" fillId="2" borderId="4" xfId="0" applyNumberFormat="1" applyFont="1" applyFill="1" applyBorder="1" applyAlignment="1">
      <x:alignment vertical="top"/>
    </x:xf>
    <x:xf numFmtId="0" fontId="5" fillId="2" borderId="2" xfId="0" applyNumberFormat="1" applyFont="1" applyFill="1" applyBorder="1" applyAlignment="1">
      <x:alignment vertical="top" wrapText="1"/>
    </x:xf>
    <x:xf numFmtId="0" fontId="5" fillId="2" borderId="3" xfId="0" applyNumberFormat="1" applyFont="1" applyFill="1" applyBorder="1" applyAlignment="1">
      <x:alignment vertical="top" wrapText="1"/>
    </x:xf>
    <x:xf numFmtId="0" fontId="5" fillId="2" borderId="4" xfId="0" applyNumberFormat="1" applyFont="1" applyFill="1" applyBorder="1" applyAlignment="1">
      <x:alignment vertical="top" wrapText="1"/>
    </x:xf>
    <x:xf numFmtId="0" fontId="5" fillId="2" borderId="2" xfId="0" applyNumberFormat="1" applyFont="1" applyFill="1" applyBorder="1" applyAlignment="1">
      <x:alignment horizontal="center" vertical="top" wrapText="1"/>
    </x:xf>
    <x:xf numFmtId="0" fontId="5" fillId="2" borderId="3" xfId="0" applyNumberFormat="1" applyFont="1" applyFill="1" applyBorder="1" applyAlignment="1">
      <x:alignment horizontal="center" vertical="top" wrapText="1"/>
    </x:xf>
    <x:xf numFmtId="0" fontId="5" fillId="2" borderId="4" xfId="0" applyNumberFormat="1" applyFont="1" applyFill="1" applyBorder="1" applyAlignment="1">
      <x:alignment horizontal="center" vertical="top"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200" fontId="1" fillId="3" borderId="5" xfId="0" applyNumberFormat="1" applyFont="1" applyFill="1" applyBorder="1" applyAlignment="1">
      <x:alignment vertical="top" wrapText="1"/>
    </x:xf>
    <x:xf numFmtId="200" fontId="1" fillId="3" borderId="6" xfId="0" applyNumberFormat="1" applyFont="1" applyFill="1" applyBorder="1" applyAlignment="1">
      <x:alignment vertical="top" wrapText="1"/>
    </x:xf>
    <x:xf numFmtId="200" fontId="1" fillId="3" borderId="7"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cbfae028564929" /><Relationship Type="http://schemas.openxmlformats.org/officeDocument/2006/relationships/theme" Target="/xl/theme/theme1.xml" Id="Rb075f982c5904d27" /><Relationship Type="http://schemas.openxmlformats.org/officeDocument/2006/relationships/sharedStrings" Target="/xl/sharedStrings.xml" Id="R2739cee5f9bc413a" /><Relationship Type="http://schemas.openxmlformats.org/officeDocument/2006/relationships/worksheet" Target="/xl/worksheets/sheet1.xml" Id="R29cdcb2de604482c" /><Relationship Type="http://schemas.openxmlformats.org/officeDocument/2006/relationships/worksheet" Target="/xl/worksheets/sheet2.xml" Id="Rd4e99c94cf0b42a0" /><Relationship Type="http://schemas.openxmlformats.org/officeDocument/2006/relationships/worksheet" Target="/xl/worksheets/sheet3.xml" Id="Rf9b2764016d24d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5" hidden="0" customWidth="1"/>
    <x:col min="3" max="3" width="3" hidden="0" customWidth="1"/>
    <x:col min="4" max="4" width="3" hidden="0" customWidth="1"/>
  </x:cols>
  <x:sheetData>
    <x:row r="1">
      <x:c r="A1" s="14" t="str">
        <x:v>PIL V4.1 English input parity check</x:v>
      </x:c>
      <x:c r="B1" s="14"/>
      <x:c r="C1" s="14"/>
      <x:c r="D1" s="14"/>
    </x:row>
    <x:row r="2">
      <x:c r="A2" s="9" t="str">
        <x:v>Purpose: confirm that the English model inputs preserve the adjudicated Chinese meaning before any paid V4.1 run.</x:v>
      </x:c>
      <x:c r="B2" s="9"/>
      <x:c r="C2" s="9"/>
      <x:c r="D2" s="9"/>
    </x:row>
    <x:row r="3">
      <x:c r="A3" s="10"/>
      <x:c r="B3" s="10"/>
      <x:c r="C3" s="10"/>
      <x:c r="D3" s="10"/>
    </x:row>
    <x:row r="4">
      <x:c r="A4" s="11" t="str">
        <x:v>Reviewer</x:v>
      </x:c>
      <x:c r="B4" s="10" t="str">
        <x:v>One existing international-private-law graduate reviewer; no new expert panel is required.</x:v>
      </x:c>
      <x:c r="C4" s="10"/>
      <x:c r="D4" s="10"/>
    </x:row>
    <x:row r="5">
      <x:c r="A5" s="11" t="str">
        <x:v>Case decision</x:v>
      </x:c>
      <x:c r="B5" s="10" t="str">
        <x:v>Choose Yes only if the English facts preserve all legally material facts and add no legal conclusion.</x:v>
      </x:c>
      <x:c r="C5" s="10"/>
      <x:c r="D5" s="10"/>
    </x:row>
    <x:row r="6">
      <x:c r="A6" s="11" t="str">
        <x:v>Evidence decision</x:v>
      </x:c>
      <x:c r="B6" s="10" t="str">
        <x:v>Choose Yes only if the English paraphrase faithfully states the cited provision. Use the EUR-Lex URL in the same row.</x:v>
      </x:c>
      <x:c r="C6" s="10"/>
      <x:c r="D6" s="10"/>
    </x:row>
    <x:row r="7">
      <x:c r="A7" s="11" t="str">
        <x:v>Needs revision</x:v>
      </x:c>
      <x:c r="B7" s="10" t="str">
        <x:v>Choose Needs revision and write a complete replacement English sentence in Proposed correction.</x:v>
      </x:c>
      <x:c r="C7" s="10"/>
      <x:c r="D7" s="10"/>
    </x:row>
    <x:row r="8">
      <x:c r="A8" s="11" t="str">
        <x:v>No</x:v>
      </x:c>
      <x:c r="B8" s="10" t="str">
        <x:v>Use only for a substantive mismatch that cannot be corrected in the proposed-correction cell.</x:v>
      </x:c>
      <x:c r="C8" s="10"/>
      <x:c r="D8" s="10"/>
    </x:row>
    <x:row r="9">
      <x:c r="A9" s="11" t="str">
        <x:v>Completion</x:v>
      </x:c>
      <x:c r="B9" s="10" t="str">
        <x:v>Fill Reviewer and Review date for every reviewed row. Dates must use yyyy-mm-dd.</x:v>
      </x:c>
      <x:c r="C9" s="10"/>
      <x:c r="D9" s="10"/>
    </x:row>
    <x:row r="10">
      <x:c r="A10" s="11" t="str">
        <x:v>Return</x:v>
      </x:c>
      <x:c r="B10" s="10" t="str">
        <x:v>Return this same workbook. The acceptance importer will reject blanks or unresolved revisions.</x:v>
      </x:c>
      <x:c r="C10" s="10"/>
      <x:c r="D10" s="10"/>
    </x:row>
    <x:row r="11">
      <x:c r="A11" s="10"/>
      <x:c r="B11" s="10"/>
      <x:c r="C11" s="10"/>
      <x:c r="D11" s="10"/>
    </x:row>
    <x:row r="12">
      <x:c r="A12" s="12" t="str">
        <x:v>Live completion count</x:v>
      </x:c>
      <x:c r="B12" s="12" t="str">
        <x:v>Value</x:v>
      </x:c>
      <x:c r="C12" s="10"/>
      <x:c r="D12" s="10"/>
    </x:row>
    <x:row r="13">
      <x:c r="A13" s="10" t="str">
        <x:v>Cases reviewed</x:v>
      </x:c>
      <x:c r="B13" s="10" t="n">
        <x:f>COUNTIF('Case parity'!E2:E61,"Yes")+COUNTIF('Case parity'!E2:E61,"Needs revision")+COUNTIF('Case parity'!E2:E61,"No")</x:f>
        <x:v>60</x:v>
      </x:c>
      <x:c r="C13" s="10"/>
      <x:c r="D13" s="10"/>
    </x:row>
    <x:row r="14">
      <x:c r="A14" s="10" t="str">
        <x:v>Cases accepted</x:v>
      </x:c>
      <x:c r="B14" s="10" t="n">
        <x:f>COUNTIF('Case parity'!E2:E61,"Yes")</x:f>
        <x:v>54</x:v>
      </x:c>
      <x:c r="C14" s="10"/>
      <x:c r="D14" s="10"/>
    </x:row>
    <x:row r="15">
      <x:c r="A15" s="10" t="str">
        <x:v>Evidence rows reviewed</x:v>
      </x:c>
      <x:c r="B15" s="10" t="n">
        <x:f>COUNTIF('Evidence parity'!F2:F59,"Yes")+COUNTIF('Evidence parity'!F2:F59,"Needs revision")+COUNTIF('Evidence parity'!F2:F59,"No")</x:f>
        <x:v>58</x:v>
      </x:c>
      <x:c r="C15" s="10"/>
      <x:c r="D15" s="10"/>
    </x:row>
    <x:row r="16">
      <x:c r="A16" s="10" t="str">
        <x:v>Evidence rows accepted</x:v>
      </x:c>
      <x:c r="B16" s="10" t="n">
        <x:f>COUNTIF('Evidence parity'!F2:F59,"Yes")</x:f>
        <x:v>55</x:v>
      </x:c>
      <x:c r="C16" s="10"/>
      <x:c r="D16" s="10"/>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52" hidden="0" customWidth="1"/>
    <x:col min="4" max="4" width="52" hidden="0" customWidth="1"/>
    <x:col min="5" max="5" width="18" hidden="0" customWidth="1"/>
    <x:col min="6" max="6" width="36" hidden="0" customWidth="1"/>
    <x:col min="7" max="7" width="36" hidden="0" customWidth="1"/>
    <x:col min="8" max="8" width="20" hidden="0" customWidth="1"/>
    <x:col min="9" max="9" width="14" hidden="0" customWidth="1"/>
  </x:cols>
  <x:sheetData>
    <x:row r="1" ht="34" customHeight="1">
      <x:c r="A1" s="24" t="str">
        <x:v>Case ID</x:v>
      </x:c>
      <x:c r="B1" s="25" t="str">
        <x:v>Cluster ID</x:v>
      </x:c>
      <x:c r="C1" s="25" t="str">
        <x:v>Chinese adjudicated facts</x:v>
      </x:c>
      <x:c r="D1" s="25" t="str">
        <x:v>English candidate</x:v>
      </x:c>
      <x:c r="E1" s="25" t="str">
        <x:v>Meaning preserved?</x:v>
      </x:c>
      <x:c r="F1" s="25" t="str">
        <x:v>Missing or added content</x:v>
      </x:c>
      <x:c r="G1" s="25" t="str">
        <x:v>Proposed correction</x:v>
      </x:c>
      <x:c r="H1" s="25" t="str">
        <x:v>Reviewer</x:v>
      </x:c>
      <x:c r="I1" s="26" t="str">
        <x:v>Review date</x:v>
      </x:c>
    </x:row>
    <x:row r="2" ht="62" customHeight="1">
      <x:c r="A2" s="27" t="n">
        <x:v>1</x:v>
      </x:c>
      <x:c r="B2" s="27" t="str">
        <x:v>CL-001</x:v>
      </x:c>
      <x:c r="C2" s="27" t="str">
        <x:v>德注册甲 vs 法注册乙；争议为法国不动产所有权；甲在德国起诉乙，请求确认物权。</x:v>
      </x:c>
      <x:c r="D2" s="27" t="str">
        <x:v>Party A is registered in Germany and Party B in France. The dispute concerns ownership rights in immovable property located in France. A sues B in Germany for a declaration of rights in rem.</x:v>
      </x:c>
      <x:c r="E2" s="30" t="str">
        <x:v>Yes</x:v>
      </x:c>
      <x:c r="F2" s="30" t="str">
        <x:v>None.</x:v>
      </x:c>
      <x:c r="G2" s="30" t="str">
        <x:v>N/A</x:v>
      </x:c>
      <x:c r="H2" s="30" t="str">
        <x:v>YiRui Wang</x:v>
      </x:c>
      <x:c r="I2" s="33" t="n">
        <x:v>46269</x:v>
      </x:c>
    </x:row>
    <x:row r="3" ht="62" customHeight="1">
      <x:c r="A3" s="28" t="n">
        <x:v>2</x:v>
      </x:c>
      <x:c r="B3" s="28" t="str">
        <x:v>CL-002</x:v>
      </x:c>
      <x:c r="C3" s="28" t="str">
        <x:v>奥地利登记簿记载甲为奥地利不动产所有者；乙主张自己才是产权人，在德国起诉请求变更奥地利登记簿。</x:v>
      </x:c>
      <x:c r="D3" s="28" t="str">
        <x:v>The Austrian land register records Party A as owner of immovable property in Austria. Party B claims to be the true owner and sues in Germany to alter the Austrian register entry.</x:v>
      </x:c>
      <x:c r="E3" s="31" t="str">
        <x:v>Yes</x:v>
      </x:c>
      <x:c r="F3" s="31" t="str">
        <x:v>None.</x:v>
      </x:c>
      <x:c r="G3" s="31" t="str">
        <x:v>N/A</x:v>
      </x:c>
      <x:c r="H3" s="31" t="str">
        <x:v>YiRui Wang</x:v>
      </x:c>
      <x:c r="I3" s="34" t="n">
        <x:v>46269</x:v>
      </x:c>
    </x:row>
    <x:row r="4" ht="62" customHeight="1">
      <x:c r="A4" s="28" t="n">
        <x:v>3</x:v>
      </x:c>
      <x:c r="B4" s="28" t="str">
        <x:v>CL-003</x:v>
      </x:c>
      <x:c r="C4" s="28" t="str">
        <x:v>乙公司依意大利法设立；股东甲在德国起诉，请求宣告股东大会增资决议无效。</x:v>
      </x:c>
      <x:c r="D4" s="28" t="str">
        <x:v>Company B is incorporated under Italian law. Shareholder A sues in Germany for a declaration that a shareholders' meeting resolution increasing the company's capital is invalid.</x:v>
      </x:c>
      <x:c r="E4" s="31" t="str">
        <x:v>Yes</x:v>
      </x:c>
      <x:c r="F4" s="31" t="str">
        <x:v>None.</x:v>
      </x:c>
      <x:c r="G4" s="31" t="str">
        <x:v>N/A</x:v>
      </x:c>
      <x:c r="H4" s="31" t="str">
        <x:v>YiRui Wang</x:v>
      </x:c>
      <x:c r="I4" s="34" t="n">
        <x:v>46269</x:v>
      </x:c>
    </x:row>
    <x:row r="5" ht="62" customHeight="1">
      <x:c r="A5" s="28" t="n">
        <x:v>4</x:v>
      </x:c>
      <x:c r="B5" s="28" t="str">
        <x:v>CL-004</x:v>
      </x:c>
      <x:c r="C5" s="28" t="str">
        <x:v>甲在德国注册商标；乙在法国起诉请求宣告德国商标无效。</x:v>
      </x:c>
      <x:c r="D5" s="28" t="str">
        <x:v>Party A owns a trade mark registered in Germany. Party B sues in France for a declaration that the German trade mark is invalid.</x:v>
      </x:c>
      <x:c r="E5" s="31" t="str">
        <x:v>Yes</x:v>
      </x:c>
      <x:c r="F5" s="31" t="str">
        <x:v>None.</x:v>
      </x:c>
      <x:c r="G5" s="31" t="str">
        <x:v>N/A</x:v>
      </x:c>
      <x:c r="H5" s="31" t="str">
        <x:v>YiRui Wang</x:v>
      </x:c>
      <x:c r="I5" s="34" t="n">
        <x:v>46269</x:v>
      </x:c>
    </x:row>
    <x:row r="6" ht="62" customHeight="1">
      <x:c r="A6" s="28" t="n">
        <x:v>5</x:v>
      </x:c>
      <x:c r="B6" s="28" t="str">
        <x:v>CL-005</x:v>
      </x:c>
      <x:c r="C6" s="28" t="str">
        <x:v>甲获法国金钱判决，拟在西班牙执行；乙对执行提出异议。</x:v>
      </x:c>
      <x:c r="D6" s="28" t="str">
        <x:v>Party A obtained a French money judgment and seeks to enforce it in Spain. Party B objects to enforcement.</x:v>
      </x:c>
      <x:c r="E6" s="31" t="str">
        <x:v>Yes</x:v>
      </x:c>
      <x:c r="F6" s="31" t="str">
        <x:v>None.</x:v>
      </x:c>
      <x:c r="G6" s="31" t="str">
        <x:v>N/A</x:v>
      </x:c>
      <x:c r="H6" s="31" t="str">
        <x:v>YiRui Wang</x:v>
      </x:c>
      <x:c r="I6" s="34" t="n">
        <x:v>46269</x:v>
      </x:c>
    </x:row>
    <x:row r="7" ht="62" customHeight="1">
      <x:c r="A7" s="28" t="n">
        <x:v>6</x:v>
      </x:c>
      <x:c r="B7" s="28" t="str">
        <x:v>CL-006</x:v>
      </x:c>
      <x:c r="C7" s="28" t="str">
        <x:v>意大利甲与西班牙乙在买卖合同中约定法国法院专属管辖；后甲在法国起诉。</x:v>
      </x:c>
      <x:c r="D7" s="28" t="str">
        <x:v>Italian Party A and Spanish Party B agreed in their sales contract that the French courts would have exclusive jurisdiction. A later sues in France.</x:v>
      </x:c>
      <x:c r="E7" s="31" t="str">
        <x:v>Yes</x:v>
      </x:c>
      <x:c r="F7" s="31" t="str">
        <x:v>None.</x:v>
      </x:c>
      <x:c r="G7" s="31" t="str">
        <x:v>N/A</x:v>
      </x:c>
      <x:c r="H7" s="31" t="str">
        <x:v>YiRui Wang</x:v>
      </x:c>
      <x:c r="I7" s="34" t="n">
        <x:v>46269</x:v>
      </x:c>
    </x:row>
    <x:row r="8" ht="62" customHeight="1">
      <x:c r="A8" s="28" t="n">
        <x:v>7</x:v>
      </x:c>
      <x:c r="B8" s="28" t="str">
        <x:v>CL-007</x:v>
      </x:c>
      <x:c r="C8" s="28" t="str">
        <x:v>英甲与德乙合同约定英国法院专属；乙先在德国提消极确认之诉，甲后在英国起诉。</x:v>
      </x:c>
      <x:c r="D8" s="28" t="str">
        <x:v>British Party A and German Party B agreed that the courts of the United Kingdom would have exclusive jurisdiction. B first brings a negative declaratory action in Germany, and A later sues in the United Kingdom.</x:v>
      </x:c>
      <x:c r="E8" s="31" t="str">
        <x:v>Yes</x:v>
      </x:c>
      <x:c r="F8" s="31" t="str">
        <x:v>None.</x:v>
      </x:c>
      <x:c r="G8" s="31" t="str">
        <x:v>N/A</x:v>
      </x:c>
      <x:c r="H8" s="31" t="str">
        <x:v>YiRui Wang</x:v>
      </x:c>
      <x:c r="I8" s="34" t="n">
        <x:v>46269</x:v>
      </x:c>
    </x:row>
    <x:row r="9" ht="62" customHeight="1">
      <x:c r="A9" s="28" t="n">
        <x:v>8</x:v>
      </x:c>
      <x:c r="B9" s="28" t="str">
        <x:v>CL-008</x:v>
      </x:c>
      <x:c r="C9" s="28" t="str">
        <x:v>甲乙均在意大利居住，但约定瑞典法院；甲仍在意大利起诉。</x:v>
      </x:c>
      <x:c r="D9" s="28" t="str">
        <x:v>Parties A and B are both domiciled in Italy but agreed that the Swedish courts would have jurisdiction. A nevertheless sues in Italy.</x:v>
      </x:c>
      <x:c r="E9" s="31" t="str">
        <x:v>Needs revision</x:v>
      </x:c>
      <x:c r="F9" s="31" t="str">
        <x:v>`domiciled in Italy` adds a Brussels I bis legal conclusion; the Chinese says only that both parties reside in Italy.</x:v>
      </x:c>
      <x:c r="G9" s="31" t="str">
        <x:v>Parties A and B both reside in Italy but agreed that the Swedish courts would have jurisdiction. A nevertheless sues in Italy.</x:v>
      </x:c>
      <x:c r="H9" s="31" t="str">
        <x:v>YiRui Wang</x:v>
      </x:c>
      <x:c r="I9" s="34" t="n">
        <x:v>46269</x:v>
      </x:c>
    </x:row>
    <x:row r="10" ht="62" customHeight="1">
      <x:c r="A10" s="28" t="n">
        <x:v>9</x:v>
      </x:c>
      <x:c r="B10" s="28" t="str">
        <x:v>CL-009</x:v>
      </x:c>
      <x:c r="C10" s="28" t="str">
        <x:v>西班牙不动产买卖；合同约定德国法院；乙在德国起诉确认物权。</x:v>
      </x:c>
      <x:c r="D10" s="28" t="str">
        <x:v>The sale concerns immovable property in Spain. The contract designates the German courts. Party B sues in Germany for a declaration of rights in rem.</x:v>
      </x:c>
      <x:c r="E10" s="31" t="str">
        <x:v>Yes</x:v>
      </x:c>
      <x:c r="F10" s="31" t="str">
        <x:v>None.</x:v>
      </x:c>
      <x:c r="G10" s="31" t="str">
        <x:v>N/A</x:v>
      </x:c>
      <x:c r="H10" s="31" t="str">
        <x:v>YiRui Wang</x:v>
      </x:c>
      <x:c r="I10" s="34" t="n">
        <x:v>46269</x:v>
      </x:c>
    </x:row>
    <x:row r="11" ht="62" customHeight="1">
      <x:c r="A11" s="28" t="n">
        <x:v>10</x:v>
      </x:c>
      <x:c r="B11" s="28" t="str">
        <x:v>CL-010</x:v>
      </x:c>
      <x:c r="C11" s="28" t="str">
        <x:v>甲乙邮件往来达成合同，但无书面管辖条款；甲称曾口头同意丹麦法院；乙否认。</x:v>
      </x:c>
      <x:c r="D11" s="28" t="str">
        <x:v>Parties A and B concluded a contract by email, but there is no written jurisdiction clause. A alleges that they orally agreed on the Danish courts; B denies this.</x:v>
      </x:c>
      <x:c r="E11" s="31" t="str">
        <x:v>Yes</x:v>
      </x:c>
      <x:c r="F11" s="31" t="str">
        <x:v>None.</x:v>
      </x:c>
      <x:c r="G11" s="31" t="str">
        <x:v>N/A</x:v>
      </x:c>
      <x:c r="H11" s="31" t="str">
        <x:v>YiRui Wang</x:v>
      </x:c>
      <x:c r="I11" s="34" t="n">
        <x:v>46269</x:v>
      </x:c>
    </x:row>
    <x:row r="12" ht="62" customHeight="1">
      <x:c r="A12" s="28" t="n">
        <x:v>11</x:v>
      </x:c>
      <x:c r="B12" s="28" t="str">
        <x:v>CL-011</x:v>
      </x:c>
      <x:c r="C12" s="28" t="str">
        <x:v>法先受理合同赔偿；德后受理同一合同之消极确认。</x:v>
      </x:c>
      <x:c r="D12" s="28" t="str">
        <x:v>A French court is first seised of a claim for contractual damages. A German court is later seised of a negative declaratory action concerning the same contract.</x:v>
      </x:c>
      <x:c r="E12" s="31" t="str">
        <x:v>Yes</x:v>
      </x:c>
      <x:c r="F12" s="31" t="str">
        <x:v>None.</x:v>
      </x:c>
      <x:c r="G12" s="31" t="str">
        <x:v>N/A</x:v>
      </x:c>
      <x:c r="H12" s="31" t="str">
        <x:v>YiRui Wang</x:v>
      </x:c>
      <x:c r="I12" s="34" t="n">
        <x:v>46269</x:v>
      </x:c>
    </x:row>
    <x:row r="13" ht="62" customHeight="1">
      <x:c r="A13" s="28" t="n">
        <x:v>12</x:v>
      </x:c>
      <x:c r="B13" s="28" t="str">
        <x:v>CL-011</x:v>
      </x:c>
      <x:c r="C13" s="28" t="str">
        <x:v>乙先在意大利起确认无责；甲后在法国起赔偿；无管辖协议。</x:v>
      </x:c>
      <x:c r="D13" s="28" t="str">
        <x:v>Party B first brings an action in Italy for a declaration of no liability. Party A later brings a damages action in France. There is no choice-of-court agreement.</x:v>
      </x:c>
      <x:c r="E13" s="31" t="str">
        <x:v>Yes</x:v>
      </x:c>
      <x:c r="F13" s="31" t="str">
        <x:v>None.</x:v>
      </x:c>
      <x:c r="G13" s="31" t="str">
        <x:v>N/A</x:v>
      </x:c>
      <x:c r="H13" s="31" t="str">
        <x:v>YiRui Wang</x:v>
      </x:c>
      <x:c r="I13" s="34" t="n">
        <x:v>46269</x:v>
      </x:c>
    </x:row>
    <x:row r="14" ht="62" customHeight="1">
      <x:c r="A14" s="28" t="n">
        <x:v>13</x:v>
      </x:c>
      <x:c r="B14" s="28" t="str">
        <x:v>CL-012</x:v>
      </x:c>
      <x:c r="C14" s="28" t="str">
        <x:v>波兰先受理后认定无管辖并驳回；荷兰先前已就同案起诉。</x:v>
      </x:c>
      <x:c r="D14" s="28" t="str">
        <x:v>A Polish court was first seised but later found that it lacked jurisdiction and dismissed the action. Proceedings concerning the same dispute had also been filed in the Netherlands shortly before that dismissal.</x:v>
      </x:c>
      <x:c r="E14" s="31" t="str">
        <x:v>Yes</x:v>
      </x:c>
      <x:c r="F14" s="31" t="str">
        <x:v>None.</x:v>
      </x:c>
      <x:c r="G14" s="31" t="str">
        <x:v>N/A</x:v>
      </x:c>
      <x:c r="H14" s="31" t="str">
        <x:v>YiRui Wang</x:v>
      </x:c>
      <x:c r="I14" s="34" t="n">
        <x:v>46269</x:v>
      </x:c>
    </x:row>
    <x:row r="15" ht="62" customHeight="1">
      <x:c r="A15" s="28" t="n">
        <x:v>14</x:v>
      </x:c>
      <x:c r="B15" s="28" t="str">
        <x:v>CL-013</x:v>
      </x:c>
      <x:c r="C15" s="28" t="str">
        <x:v>英起诉侵权欺诈；法起诉合同付款；同交易背景不同请求。</x:v>
      </x:c>
      <x:c r="D15" s="28" t="str">
        <x:v>Proceedings in the United Kingdom allege fraudulent tortious conduct, while proceedings in France seek contractual payment. The claims arise from the same transaction but seek different relief.</x:v>
      </x:c>
      <x:c r="E15" s="31" t="str">
        <x:v>Yes</x:v>
      </x:c>
      <x:c r="F15" s="31" t="str">
        <x:v>None.</x:v>
      </x:c>
      <x:c r="G15" s="31" t="str">
        <x:v>N/A</x:v>
      </x:c>
      <x:c r="H15" s="31" t="str">
        <x:v>YiRui Wang</x:v>
      </x:c>
      <x:c r="I15" s="34" t="n">
        <x:v>46269</x:v>
      </x:c>
    </x:row>
    <x:row r="16" ht="62" customHeight="1">
      <x:c r="A16" s="28" t="n">
        <x:v>15</x:v>
      </x:c>
      <x:c r="B16" s="28" t="str">
        <x:v>CL-014</x:v>
      </x:c>
      <x:c r="C16" s="28" t="str">
        <x:v>法上午起诉，德当日稍晚起诉；认定先受理法院。</x:v>
      </x:c>
      <x:c r="D16" s="28" t="str">
        <x:v>Proceedings are filed in France in the morning and in Germany later the same day. Determine which court is first seised.</x:v>
      </x:c>
      <x:c r="E16" s="31" t="str">
        <x:v>Yes</x:v>
      </x:c>
      <x:c r="F16" s="31" t="str">
        <x:v>None.</x:v>
      </x:c>
      <x:c r="G16" s="31" t="str">
        <x:v>N/A</x:v>
      </x:c>
      <x:c r="H16" s="31" t="str">
        <x:v>YiRui Wang</x:v>
      </x:c>
      <x:c r="I16" s="34" t="n">
        <x:v>46269</x:v>
      </x:c>
    </x:row>
    <x:row r="17" ht="62" customHeight="1">
      <x:c r="A17" s="28" t="n">
        <x:v>16</x:v>
      </x:c>
      <x:c r="B17" s="28" t="str">
        <x:v>CL-015</x:v>
      </x:c>
      <x:c r="C17" s="28" t="str">
        <x:v>乙为德国居民；甲因货款在德国起诉乙。</x:v>
      </x:c>
      <x:c r="D17" s="28" t="str">
        <x:v>Party B is domiciled in Germany. Party A sues B in Germany for payment of the purchase price.</x:v>
      </x:c>
      <x:c r="E17" s="31" t="str">
        <x:v>Needs revision</x:v>
      </x:c>
      <x:c r="F17" s="31" t="str">
        <x:v>`domiciled in Germany` is stronger than the Chinese `德国居民` (resident in Germany) and may predetermine the Article 4 domicile issue.</x:v>
      </x:c>
      <x:c r="G17" s="31" t="str">
        <x:v>Party B is a resident of Germany. Party A sues B in Germany for payment of the purchase price.</x:v>
      </x:c>
      <x:c r="H17" s="31" t="str">
        <x:v>YiRui Wang</x:v>
      </x:c>
      <x:c r="I17" s="34" t="n">
        <x:v>46269</x:v>
      </x:c>
    </x:row>
    <x:row r="18" ht="62" customHeight="1">
      <x:c r="A18" s="28" t="n">
        <x:v>17</x:v>
      </x:c>
      <x:c r="B18" s="28" t="str">
        <x:v>CL-016</x:v>
      </x:c>
      <x:c r="C18" s="28" t="str">
        <x:v>乙住所意大利；履行地亦在意大利；甲在法国起诉乙。</x:v>
      </x:c>
      <x:c r="D18" s="28" t="str">
        <x:v>Party B is domiciled in Italy, and the place of performance is also in Italy. Party A sues B in France.</x:v>
      </x:c>
      <x:c r="E18" s="31" t="str">
        <x:v>Yes</x:v>
      </x:c>
      <x:c r="F18" s="31" t="str">
        <x:v>None.</x:v>
      </x:c>
      <x:c r="G18" s="31" t="str">
        <x:v>N/A</x:v>
      </x:c>
      <x:c r="H18" s="31" t="str">
        <x:v>YiRui Wang</x:v>
      </x:c>
      <x:c r="I18" s="34" t="n">
        <x:v>46269</x:v>
      </x:c>
    </x:row>
    <x:row r="19" ht="62" customHeight="1">
      <x:c r="A19" s="28" t="n">
        <x:v>18</x:v>
      </x:c>
      <x:c r="B19" s="28" t="str">
        <x:v>CL-017</x:v>
      </x:c>
      <x:c r="C19" s="28" t="str">
        <x:v>乙为美国公司，在欧盟无住所；法原告欲在法国起诉。</x:v>
      </x:c>
      <x:c r="D19" s="28" t="str">
        <x:v>Party B is a United States company with no domicile in the European Union. A French claimant wishes to sue B in France.</x:v>
      </x:c>
      <x:c r="E19" s="31" t="str">
        <x:v>Yes</x:v>
      </x:c>
      <x:c r="F19" s="31" t="str">
        <x:v>None.</x:v>
      </x:c>
      <x:c r="G19" s="31" t="str">
        <x:v>N/A</x:v>
      </x:c>
      <x:c r="H19" s="31" t="str">
        <x:v>YiRui Wang</x:v>
      </x:c>
      <x:c r="I19" s="34" t="n">
        <x:v>46269</x:v>
      </x:c>
    </x:row>
    <x:row r="20" ht="62" customHeight="1">
      <x:c r="A20" s="28" t="n">
        <x:v>19</x:v>
      </x:c>
      <x:c r="B20" s="28" t="str">
        <x:v>CL-017</x:v>
      </x:c>
      <x:c r="C20" s="28" t="str">
        <x:v>乙在起诉时住所仅位于中国，且在任何欧盟成员国均无住所；甲住所位于德国，拟在德国起诉乙。案情不涉及消费者、雇佣、专属管辖或选择法院协议。</x:v>
      </x:c>
      <x:c r="D20" s="28" t="str">
        <x:v>When proceedings are contemplated, Party B is domiciled only in China and is not domiciled in any EU Member State. Party A is domiciled in Germany and plans to sue B in Germany. The facts do not involve a consumer contract, employment, exclusive jurisdiction, or a choice-of-court agreement.</x:v>
      </x:c>
      <x:c r="E20" s="31" t="str">
        <x:v>Yes</x:v>
      </x:c>
      <x:c r="F20" s="31" t="str">
        <x:v>None.</x:v>
      </x:c>
      <x:c r="G20" s="31" t="str">
        <x:v>N/A</x:v>
      </x:c>
      <x:c r="H20" s="31" t="str">
        <x:v>YiRui Wang</x:v>
      </x:c>
      <x:c r="I20" s="34" t="n">
        <x:v>46269</x:v>
      </x:c>
    </x:row>
    <x:row r="21" ht="62" customHeight="1">
      <x:c r="A21" s="28" t="n">
        <x:v>20</x:v>
      </x:c>
      <x:c r="B21" s="28" t="str">
        <x:v>CL-018</x:v>
      </x:c>
      <x:c r="C21" s="28" t="str">
        <x:v>乙公司在英国注册，主要管理总部在德国；甲（法国）欲起诉乙。</x:v>
      </x:c>
      <x:c r="D21" s="28" t="str">
        <x:v>Company B is registered in the United Kingdom and has its central administration in Germany. French Party A wishes to sue B.</x:v>
      </x:c>
      <x:c r="E21" s="31" t="str">
        <x:v>Yes</x:v>
      </x:c>
      <x:c r="F21" s="31" t="str">
        <x:v>None.</x:v>
      </x:c>
      <x:c r="G21" s="31" t="str">
        <x:v>N/A</x:v>
      </x:c>
      <x:c r="H21" s="31" t="str">
        <x:v>YiRui Wang</x:v>
      </x:c>
      <x:c r="I21" s="34" t="n">
        <x:v>46269</x:v>
      </x:c>
    </x:row>
    <x:row r="22" ht="62" customHeight="1">
      <x:c r="A22" s="28" t="n">
        <x:v>21</x:v>
      </x:c>
      <x:c r="B22" s="28" t="str">
        <x:v>CL-019</x:v>
      </x:c>
      <x:c r="C22" s="28" t="str">
        <x:v>西班牙买方 vs 波兰卖方；交货地马德里；迟延交货。</x:v>
      </x:c>
      <x:c r="D22" s="28" t="str">
        <x:v>A Spanish buyer and a Polish seller dispute late delivery. The agreed place of delivery was Madrid.</x:v>
      </x:c>
      <x:c r="E22" s="31" t="str">
        <x:v>Yes</x:v>
      </x:c>
      <x:c r="F22" s="31" t="str">
        <x:v>None.</x:v>
      </x:c>
      <x:c r="G22" s="31" t="str">
        <x:v>N/A</x:v>
      </x:c>
      <x:c r="H22" s="31" t="str">
        <x:v>YiRui Wang</x:v>
      </x:c>
      <x:c r="I22" s="34" t="n">
        <x:v>46269</x:v>
      </x:c>
    </x:row>
    <x:row r="23" ht="62" customHeight="1">
      <x:c r="A23" s="28" t="n">
        <x:v>22</x:v>
      </x:c>
      <x:c r="B23" s="28" t="str">
        <x:v>CL-020</x:v>
      </x:c>
      <x:c r="C23" s="28" t="str">
        <x:v>法公司 vs 意大利顾问；服务主要在法国提供；主张未适当履行。</x:v>
      </x:c>
      <x:c r="D23" s="28" t="str">
        <x:v>A French company and an Italian consultant dispute allegedly defective performance of services that were principally provided in France.</x:v>
      </x:c>
      <x:c r="E23" s="31" t="str">
        <x:v>Yes</x:v>
      </x:c>
      <x:c r="F23" s="31" t="str">
        <x:v>None.</x:v>
      </x:c>
      <x:c r="G23" s="31" t="str">
        <x:v>N/A</x:v>
      </x:c>
      <x:c r="H23" s="31" t="str">
        <x:v>YiRui Wang</x:v>
      </x:c>
      <x:c r="I23" s="34" t="n">
        <x:v>46269</x:v>
      </x:c>
    </x:row>
    <x:row r="24" ht="62" customHeight="1">
      <x:c r="A24" s="28" t="n">
        <x:v>23</x:v>
      </x:c>
      <x:c r="B24" s="28" t="str">
        <x:v>CL-021</x:v>
      </x:c>
      <x:c r="C24" s="28" t="str">
        <x:v>德制造家电销往法；法消费者在法国受伤欲起诉德制造商。</x:v>
      </x:c>
      <x:c r="D24" s="28" t="str">
        <x:v>A German manufacturer sells household appliances in France. A French consumer is injured in France and wishes to sue the German manufacturer.</x:v>
      </x:c>
      <x:c r="E24" s="31" t="str">
        <x:v>Yes</x:v>
      </x:c>
      <x:c r="F24" s="31" t="str">
        <x:v>None.</x:v>
      </x:c>
      <x:c r="G24" s="31" t="str">
        <x:v>N/A</x:v>
      </x:c>
      <x:c r="H24" s="31" t="str">
        <x:v>YiRui Wang</x:v>
      </x:c>
      <x:c r="I24" s="34" t="n">
        <x:v>46269</x:v>
      </x:c>
    </x:row>
    <x:row r="25" ht="62" customHeight="1">
      <x:c r="A25" s="28" t="n">
        <x:v>24</x:v>
      </x:c>
      <x:c r="B25" s="28" t="str">
        <x:v>CL-022</x:v>
      </x:c>
      <x:c r="C25" s="28" t="str">
        <x:v>甲总公司在德，在荷设分公司对乙签约售货；产品有瑕疵，乙拟在荷起诉总公司。</x:v>
      </x:c>
      <x:c r="D25" s="28" t="str">
        <x:v>Party A has its head office in Germany and a branch in the Netherlands through which it contracted to sell goods to Party B. The goods are defective, and B plans to sue the head office in the Netherlands.</x:v>
      </x:c>
      <x:c r="E25" s="31" t="str">
        <x:v>Yes</x:v>
      </x:c>
      <x:c r="F25" s="31" t="str">
        <x:v>None.</x:v>
      </x:c>
      <x:c r="G25" s="31" t="str">
        <x:v>N/A</x:v>
      </x:c>
      <x:c r="H25" s="31" t="str">
        <x:v>YiRui Wang</x:v>
      </x:c>
      <x:c r="I25" s="34" t="n">
        <x:v>46269</x:v>
      </x:c>
    </x:row>
    <x:row r="26" ht="62" customHeight="1">
      <x:c r="A26" s="28" t="n">
        <x:v>25</x:v>
      </x:c>
      <x:c r="B26" s="28" t="str">
        <x:v>CL-023</x:v>
      </x:c>
      <x:c r="C26" s="28" t="str">
        <x:v>英法信托；信托住所地伦敦；受益人甲指控受托人乙管理不当。</x:v>
      </x:c>
      <x:c r="D26" s="28" t="str">
        <x:v>The dispute concerns an English-French trust domiciled in London. Beneficiary A alleges that trustee B mismanaged the trust.</x:v>
      </x:c>
      <x:c r="E26" s="31" t="str">
        <x:v>Yes</x:v>
      </x:c>
      <x:c r="F26" s="31" t="str">
        <x:v>None.</x:v>
      </x:c>
      <x:c r="G26" s="31" t="str">
        <x:v>N/A</x:v>
      </x:c>
      <x:c r="H26" s="31" t="str">
        <x:v>YiRui Wang</x:v>
      </x:c>
      <x:c r="I26" s="34" t="n">
        <x:v>46269</x:v>
      </x:c>
    </x:row>
    <x:row r="27" ht="62" customHeight="1">
      <x:c r="A27" s="28" t="n">
        <x:v>26</x:v>
      </x:c>
      <x:c r="B27" s="28" t="str">
        <x:v>CL-024</x:v>
      </x:c>
      <x:c r="C27" s="28" t="str">
        <x:v>甲将乙起诉至西班牙，但无连接点；乙出庭实体答辩未抗辩管辖。</x:v>
      </x:c>
      <x:c r="D27" s="28" t="str">
        <x:v>Party A sues Party B in Spain even though the dispute has no jurisdictional connection with Spain. B appears and argues the merits without contesting jurisdiction.</x:v>
      </x:c>
      <x:c r="E27" s="31" t="str">
        <x:v>Yes</x:v>
      </x:c>
      <x:c r="F27" s="31" t="str">
        <x:v>None.</x:v>
      </x:c>
      <x:c r="G27" s="31" t="str">
        <x:v>N/A</x:v>
      </x:c>
      <x:c r="H27" s="31" t="str">
        <x:v>YiRui Wang</x:v>
      </x:c>
      <x:c r="I27" s="34" t="n">
        <x:v>46269</x:v>
      </x:c>
    </x:row>
    <x:row r="28" ht="62" customHeight="1">
      <x:c r="A28" s="28" t="n">
        <x:v>27</x:v>
      </x:c>
      <x:c r="B28" s="28" t="str">
        <x:v>CL-025</x:v>
      </x:c>
      <x:c r="C28" s="28" t="str">
        <x:v>延续上案，乙仅为提出管辖异议而出庭。</x:v>
      </x:c>
      <x:c r="D28" s="28" t="str">
        <x:v>Continuing the preceding scenario, Party B appears solely to contest jurisdiction and does not argue the merits.</x:v>
      </x:c>
      <x:c r="E28" s="31" t="str">
        <x:v>Yes</x:v>
      </x:c>
      <x:c r="F28" s="31" t="str">
        <x:v>None.</x:v>
      </x:c>
      <x:c r="G28" s="31" t="str">
        <x:v>N/A</x:v>
      </x:c>
      <x:c r="H28" s="31" t="str">
        <x:v>YiRui Wang</x:v>
      </x:c>
      <x:c r="I28" s="34" t="n">
        <x:v>46269</x:v>
      </x:c>
    </x:row>
    <x:row r="29" ht="62" customHeight="1">
      <x:c r="A29" s="28" t="n">
        <x:v>28</x:v>
      </x:c>
      <x:c r="B29" s="28" t="str">
        <x:v>CL-026</x:v>
      </x:c>
      <x:c r="C29" s="28" t="str">
        <x:v>乙完全缺席；西班牙法院是否可缺席审理并判决？</x:v>
      </x:c>
      <x:c r="D29" s="28" t="str">
        <x:v>Party B does not appear at all. May the Spanish court hear the case in default and give judgment?</x:v>
      </x:c>
      <x:c r="E29" s="31" t="str">
        <x:v>Yes</x:v>
      </x:c>
      <x:c r="F29" s="31" t="str">
        <x:v>None.</x:v>
      </x:c>
      <x:c r="G29" s="31" t="str">
        <x:v>N/A</x:v>
      </x:c>
      <x:c r="H29" s="31" t="str">
        <x:v>YiRui Wang</x:v>
      </x:c>
      <x:c r="I29" s="34" t="n">
        <x:v>46269</x:v>
      </x:c>
    </x:row>
    <x:row r="30" ht="62" customHeight="1">
      <x:c r="A30" s="28" t="n">
        <x:v>29</x:v>
      </x:c>
      <x:c r="B30" s="28" t="str">
        <x:v>CL-027</x:v>
      </x:c>
      <x:c r="C30" s="28" t="str">
        <x:v>西班牙法院受理法国不动产物权纠纷；乙出庭未异议。</x:v>
      </x:c>
      <x:c r="D30" s="28" t="str">
        <x:v>A Spanish court hears a dispute concerning rights in rem in French immovable property. Party B appears without contesting jurisdiction.</x:v>
      </x:c>
      <x:c r="E30" s="31" t="str">
        <x:v>Yes</x:v>
      </x:c>
      <x:c r="F30" s="31" t="str">
        <x:v>None.</x:v>
      </x:c>
      <x:c r="G30" s="31" t="str">
        <x:v>N/A</x:v>
      </x:c>
      <x:c r="H30" s="31" t="str">
        <x:v>YiRui Wang</x:v>
      </x:c>
      <x:c r="I30" s="34" t="n">
        <x:v>46269</x:v>
      </x:c>
    </x:row>
    <x:row r="31" ht="62" customHeight="1">
      <x:c r="A31" s="28" t="n">
        <x:v>30</x:v>
      </x:c>
      <x:c r="B31" s="28" t="str">
        <x:v>CL-028</x:v>
      </x:c>
      <x:c r="C31" s="28" t="str">
        <x:v>德法院受理消费者合同争议；消费者乙（法籍）到庭未异议。</x:v>
      </x:c>
      <x:c r="D31" s="28" t="str">
        <x:v>A German court hears a consumer-contract dispute. Consumer B, a French national, appears without contesting jurisdiction.</x:v>
      </x:c>
      <x:c r="E31" s="31" t="str">
        <x:v>Yes</x:v>
      </x:c>
      <x:c r="F31" s="31" t="str">
        <x:v>None.</x:v>
      </x:c>
      <x:c r="G31" s="31" t="str">
        <x:v>N/A</x:v>
      </x:c>
      <x:c r="H31" s="31" t="str">
        <x:v>YiRui Wang</x:v>
      </x:c>
      <x:c r="I31" s="34" t="n">
        <x:v>46269</x:v>
      </x:c>
    </x:row>
    <x:row r="32" ht="62" customHeight="1">
      <x:c r="A32" s="28" t="n">
        <x:v>31</x:v>
      </x:c>
      <x:c r="B32" s="28" t="str">
        <x:v>CL-001</x:v>
      </x:c>
      <x:c r="C32" s="28" t="str">
        <x:v>西班牙公司甲与意大利公司乙就位于意大利的仓库所有权发生争议；甲在西班牙起诉请求确认对该不动产享有物权。</x:v>
      </x:c>
      <x:c r="D32" s="28" t="str">
        <x:v>Spanish company A and Italian company B dispute ownership of a warehouse located in Italy. A sues in Spain for a declaration that it holds rights in rem over that property.</x:v>
      </x:c>
      <x:c r="E32" s="31" t="str">
        <x:v>Yes</x:v>
      </x:c>
      <x:c r="F32" s="31" t="str">
        <x:v>None.</x:v>
      </x:c>
      <x:c r="G32" s="31" t="str">
        <x:v>N/A</x:v>
      </x:c>
      <x:c r="H32" s="31" t="str">
        <x:v>YiRui Wang</x:v>
      </x:c>
      <x:c r="I32" s="34" t="n">
        <x:v>46269</x:v>
      </x:c>
    </x:row>
    <x:row r="33" ht="62" customHeight="1">
      <x:c r="A33" s="28" t="n">
        <x:v>32</x:v>
      </x:c>
      <x:c r="B33" s="28" t="str">
        <x:v>CL-002</x:v>
      </x:c>
      <x:c r="C33" s="28" t="str">
        <x:v>捷克不动产登记簿记载丙为所有人；丁主张登记错误，在德国起诉请求变更捷克登记簿记载。</x:v>
      </x:c>
      <x:c r="D33" s="28" t="str">
        <x:v>The Czech land register records Party C as owner of immovable property. Party D claims the entry is wrong and sues in Germany to alter the Czech register.</x:v>
      </x:c>
      <x:c r="E33" s="31" t="str">
        <x:v>Yes</x:v>
      </x:c>
      <x:c r="F33" s="31" t="str">
        <x:v>None.</x:v>
      </x:c>
      <x:c r="G33" s="31" t="str">
        <x:v>N/A</x:v>
      </x:c>
      <x:c r="H33" s="31" t="str">
        <x:v>YiRui Wang</x:v>
      </x:c>
      <x:c r="I33" s="34" t="n">
        <x:v>46269</x:v>
      </x:c>
    </x:row>
    <x:row r="34" ht="62" customHeight="1">
      <x:c r="A34" s="28" t="n">
        <x:v>33</x:v>
      </x:c>
      <x:c r="B34" s="28" t="str">
        <x:v>CL-003</x:v>
      </x:c>
      <x:c r="C34" s="28" t="str">
        <x:v>丙公司依荷兰法设立，法定席位在阿姆斯特丹；股东乙在法国起诉，请求撤销股东大会关于解任董事的决议。</x:v>
      </x:c>
      <x:c r="D34" s="28" t="str">
        <x:v>Company C is incorporated under Dutch law and has its statutory seat in Amsterdam. Shareholder B sues in France to annul a shareholders' meeting resolution removing a director.</x:v>
      </x:c>
      <x:c r="E34" s="31" t="str">
        <x:v>Yes</x:v>
      </x:c>
      <x:c r="F34" s="31" t="str">
        <x:v>None.</x:v>
      </x:c>
      <x:c r="G34" s="31" t="str">
        <x:v>N/A</x:v>
      </x:c>
      <x:c r="H34" s="31" t="str">
        <x:v>YiRui Wang</x:v>
      </x:c>
      <x:c r="I34" s="34" t="n">
        <x:v>46269</x:v>
      </x:c>
    </x:row>
    <x:row r="35" ht="62" customHeight="1">
      <x:c r="A35" s="28" t="n">
        <x:v>34</x:v>
      </x:c>
      <x:c r="B35" s="28" t="str">
        <x:v>CL-029</x:v>
      </x:c>
      <x:c r="C35" s="28" t="str">
        <x:v>甲持有一项由欧盟知识产权局（EUIPO）注册的欧盟商标。乙没有在侵权诉讼中提出反诉，而是在德国法院单独起诉，请求宣告该欧盟商标无效。</x:v>
      </x:c>
      <x:c r="D35" s="28" t="str">
        <x:v>Party A owns an EU trade mark registered by the European Union Intellectual Property Office (EUIPO). Party B does not raise invalidity as a counterclaim in infringement proceedings, but instead brings a standalone action before a German court seeking a declaration that the EU trade mark is invalid.</x:v>
      </x:c>
      <x:c r="E35" s="31" t="str">
        <x:v>Yes</x:v>
      </x:c>
      <x:c r="F35" s="31" t="str">
        <x:v>None.</x:v>
      </x:c>
      <x:c r="G35" s="31" t="str">
        <x:v>N/A</x:v>
      </x:c>
      <x:c r="H35" s="31" t="str">
        <x:v>YiRui Wang</x:v>
      </x:c>
      <x:c r="I35" s="34" t="n">
        <x:v>46269</x:v>
      </x:c>
    </x:row>
    <x:row r="36" ht="62" customHeight="1">
      <x:c r="A36" s="28" t="n">
        <x:v>35</x:v>
      </x:c>
      <x:c r="B36" s="28" t="str">
        <x:v>CL-005</x:v>
      </x:c>
      <x:c r="C36" s="28" t="str">
        <x:v>甲在奥地利取得对乙的不动产金钱判决，拟在德国申请强制执行；乙在德国提起异议程序。</x:v>
      </x:c>
      <x:c r="D36" s="28" t="str">
        <x:v>Party A obtained an Austrian money judgment against Party B concerning immovable property and seeks enforcement in Germany. B brings objection proceedings in Germany.</x:v>
      </x:c>
      <x:c r="E36" s="31" t="str">
        <x:v>Yes</x:v>
      </x:c>
      <x:c r="F36" s="31" t="str">
        <x:v>None.</x:v>
      </x:c>
      <x:c r="G36" s="31" t="str">
        <x:v>N/A</x:v>
      </x:c>
      <x:c r="H36" s="31" t="str">
        <x:v>YiRui Wang</x:v>
      </x:c>
      <x:c r="I36" s="34" t="n">
        <x:v>46269</x:v>
      </x:c>
    </x:row>
    <x:row r="37" ht="62" customHeight="1">
      <x:c r="A37" s="28" t="n">
        <x:v>36</x:v>
      </x:c>
      <x:c r="B37" s="28" t="str">
        <x:v>CL-030</x:v>
      </x:c>
      <x:c r="C37" s="28" t="str">
        <x:v>葡萄牙公寓的共有业主之间就共有部分使用规则发生争议；一名业主在西班牙起诉其他业主，请求确认自己对该不动产享有优先使用权。</x:v>
      </x:c>
      <x:c r="D37" s="28" t="str">
        <x:v>Co-owners of an apartment in Portugal dispute rules governing use of the common parts. One owner sues the others in Spain for a declaration of a preferential right to use the immovable property.</x:v>
      </x:c>
      <x:c r="E37" s="31" t="str">
        <x:v>Yes</x:v>
      </x:c>
      <x:c r="F37" s="31" t="str">
        <x:v>None.</x:v>
      </x:c>
      <x:c r="G37" s="31" t="str">
        <x:v>N/A</x:v>
      </x:c>
      <x:c r="H37" s="31" t="str">
        <x:v>YiRui Wang</x:v>
      </x:c>
      <x:c r="I37" s="34" t="n">
        <x:v>46269</x:v>
      </x:c>
    </x:row>
    <x:row r="38" ht="62" customHeight="1">
      <x:c r="A38" s="28" t="n">
        <x:v>37</x:v>
      </x:c>
      <x:c r="B38" s="28" t="str">
        <x:v>CL-006</x:v>
      </x:c>
      <x:c r="C38" s="28" t="str">
        <x:v>德国咨询公司甲与比利时公司乙签订服务合同，合同中书面约定布鲁塞尔法院享有专属管辖；后甲因服务费在布鲁塞尔起诉乙。</x:v>
      </x:c>
      <x:c r="D38" s="28" t="str">
        <x:v>German consulting company A and Belgian company B signed a services contract containing a written clause granting the Brussels courts exclusive jurisdiction. A later sues B in Brussels for unpaid service fees.</x:v>
      </x:c>
      <x:c r="E38" s="31" t="str">
        <x:v>Yes</x:v>
      </x:c>
      <x:c r="F38" s="31" t="str">
        <x:v>None.</x:v>
      </x:c>
      <x:c r="G38" s="31" t="str">
        <x:v>N/A</x:v>
      </x:c>
      <x:c r="H38" s="31" t="str">
        <x:v>YiRui Wang</x:v>
      </x:c>
      <x:c r="I38" s="34" t="n">
        <x:v>46269</x:v>
      </x:c>
    </x:row>
    <x:row r="39" ht="62" customHeight="1">
      <x:c r="A39" s="28" t="n">
        <x:v>38</x:v>
      </x:c>
      <x:c r="B39" s="28" t="str">
        <x:v>CL-010</x:v>
      </x:c>
      <x:c r="C39" s="28" t="str">
        <x:v>西班牙卖方甲与意大利买方乙通过电话达成买卖合同，甲主张双方曾口头同意由维也纳法院管辖，乙否认，合同文本中未载明该条款。</x:v>
      </x:c>
      <x:c r="D39" s="28" t="str">
        <x:v>Spanish seller A and Italian buyer B conclude a sales contract by telephone. A alleges that they orally agreed on the Vienna courts; B denies this, and the written contract contains no such clause.</x:v>
      </x:c>
      <x:c r="E39" s="31" t="str">
        <x:v>Yes</x:v>
      </x:c>
      <x:c r="F39" s="31" t="str">
        <x:v>None.</x:v>
      </x:c>
      <x:c r="G39" s="31" t="str">
        <x:v>N/A</x:v>
      </x:c>
      <x:c r="H39" s="31" t="str">
        <x:v>YiRui Wang</x:v>
      </x:c>
      <x:c r="I39" s="34" t="n">
        <x:v>46269</x:v>
      </x:c>
    </x:row>
    <x:row r="40" ht="62" customHeight="1">
      <x:c r="A40" s="28" t="n">
        <x:v>39</x:v>
      </x:c>
      <x:c r="B40" s="28" t="str">
        <x:v>CL-007</x:v>
      </x:c>
      <x:c r="C40" s="28" t="str">
        <x:v>法国甲与荷兰乙在货物买卖合同中书面约定阿姆斯特丹法院专属管辖。乙先在法国提起消极确认之诉，甲随后在荷兰起诉请求支付价款。</x:v>
      </x:c>
      <x:c r="D40" s="28" t="str">
        <x:v>French Party A and Dutch Party B agreed in writing that the Amsterdam courts would have exclusive jurisdiction over their sale-of-goods contract. B first brings a negative declaratory action in France; A then sues for payment in the Netherlands.</x:v>
      </x:c>
      <x:c r="E40" s="31" t="str">
        <x:v>Yes</x:v>
      </x:c>
      <x:c r="F40" s="31" t="str">
        <x:v>None.</x:v>
      </x:c>
      <x:c r="G40" s="31" t="str">
        <x:v>N/A</x:v>
      </x:c>
      <x:c r="H40" s="31" t="str">
        <x:v>YiRui Wang</x:v>
      </x:c>
      <x:c r="I40" s="34" t="n">
        <x:v>46269</x:v>
      </x:c>
    </x:row>
    <x:row r="41" ht="62" customHeight="1">
      <x:c r="A41" s="28" t="n">
        <x:v>40</x:v>
      </x:c>
      <x:c r="B41" s="28" t="str">
        <x:v>CL-009</x:v>
      </x:c>
      <x:c r="C41" s="28" t="str">
        <x:v>意大利不动产买卖合同约定德国法院专属管辖；买受人甲在德国起诉请求确认对该位于意大利的不动产享有所有权。</x:v>
      </x:c>
      <x:c r="D41" s="28" t="str">
        <x:v>A contract for the sale of immovable property in Italy designates the German courts as having exclusive jurisdiction. Buyer A sues in Germany for a declaration of ownership of the Italian property.</x:v>
      </x:c>
      <x:c r="E41" s="31" t="str">
        <x:v>Yes</x:v>
      </x:c>
      <x:c r="F41" s="31" t="str">
        <x:v>None.</x:v>
      </x:c>
      <x:c r="G41" s="31" t="str">
        <x:v>N/A</x:v>
      </x:c>
      <x:c r="H41" s="31" t="str">
        <x:v>YiRui Wang</x:v>
      </x:c>
      <x:c r="I41" s="34" t="n">
        <x:v>46269</x:v>
      </x:c>
    </x:row>
    <x:row r="42" ht="62" customHeight="1">
      <x:c r="A42" s="28" t="n">
        <x:v>41</x:v>
      </x:c>
      <x:c r="B42" s="28" t="str">
        <x:v>CL-008</x:v>
      </x:c>
      <x:c r="C42" s="28" t="str">
        <x:v>葡萄牙甲与爱尔兰乙在服务合同中约定“都柏林法院有管辖权”，未注明专属；合同以书面形式订立。甲就服务报酬在都柏林起诉乙。</x:v>
      </x:c>
      <x:c r="D42" s="28" t="str">
        <x:v>Portuguese Party A and Irish Party B agreed in a written services contract that the Dublin courts 'have jurisdiction', without stating that jurisdiction is exclusive. A sues B in Dublin for service fees.</x:v>
      </x:c>
      <x:c r="E42" s="31" t="str">
        <x:v>Yes</x:v>
      </x:c>
      <x:c r="F42" s="31" t="str">
        <x:v>None.</x:v>
      </x:c>
      <x:c r="G42" s="31" t="str">
        <x:v>N/A</x:v>
      </x:c>
      <x:c r="H42" s="31" t="str">
        <x:v>YiRui Wang</x:v>
      </x:c>
      <x:c r="I42" s="34" t="n">
        <x:v>46269</x:v>
      </x:c>
    </x:row>
    <x:row r="43" ht="62" customHeight="1">
      <x:c r="A43" s="28" t="n">
        <x:v>42</x:v>
      </x:c>
      <x:c r="B43" s="28" t="str">
        <x:v>CL-031</x:v>
      </x:c>
      <x:c r="C43" s="28" t="str">
        <x:v>法国消费者甲通过网络向荷兰商家乙订购家具，在预先勾选的条款中，甲以单独确认的方式接受了“阿姆斯特丹法院专属管辖”的条款；甲后来在阿姆斯特丹起诉乙要求履行。</x:v>
      </x:c>
      <x:c r="D43" s="28" t="str">
        <x:v>French consumer A orders furniture online from Dutch trader B. By a separate confirmation, A accepts a preselected term granting the Amsterdam courts exclusive jurisdiction. A later sues B in Amsterdam for performance.</x:v>
      </x:c>
      <x:c r="E43" s="31" t="str">
        <x:v>Yes</x:v>
      </x:c>
      <x:c r="F43" s="31" t="str">
        <x:v>None.</x:v>
      </x:c>
      <x:c r="G43" s="31" t="str">
        <x:v>N/A</x:v>
      </x:c>
      <x:c r="H43" s="31" t="str">
        <x:v>YiRui Wang</x:v>
      </x:c>
      <x:c r="I43" s="34" t="n">
        <x:v>46269</x:v>
      </x:c>
    </x:row>
    <x:row r="44" ht="62" customHeight="1">
      <x:c r="A44" s="28" t="n">
        <x:v>43</x:v>
      </x:c>
      <x:c r="B44" s="28" t="str">
        <x:v>CL-011</x:v>
      </x:c>
      <x:c r="C44" s="28" t="str">
        <x:v>德国法院先受理甲诉乙的合同赔偿之诉；随后西班牙法院又受理同一合同、同一当事人的消极确认之诉。</x:v>
      </x:c>
      <x:c r="D44" s="28" t="str">
        <x:v>A German court is first seised of A's contractual damages action against B. A Spanish court is later seised of a negative declaratory action involving the same parties and the same contract.</x:v>
      </x:c>
      <x:c r="E44" s="31" t="str">
        <x:v>Yes</x:v>
      </x:c>
      <x:c r="F44" s="31" t="str">
        <x:v>None.</x:v>
      </x:c>
      <x:c r="G44" s="31" t="str">
        <x:v>N/A</x:v>
      </x:c>
      <x:c r="H44" s="31" t="str">
        <x:v>YiRui Wang</x:v>
      </x:c>
      <x:c r="I44" s="34" t="n">
        <x:v>46269</x:v>
      </x:c>
    </x:row>
    <x:row r="45" ht="62" customHeight="1">
      <x:c r="A45" s="28" t="n">
        <x:v>44</x:v>
      </x:c>
      <x:c r="B45" s="28" t="str">
        <x:v>CL-013</x:v>
      </x:c>
      <x:c r="C45" s="28" t="str">
        <x:v>意大利法院先受理甲对乙的侵权诉讼，该案仍在一审。随后，法国法院受理同一投资项目下甲对丙的合同责任诉讼；丙住所位于法国，法国法院对第二案具有独立国际管辖权。两案核心事实高度重合，分开审理存在不可调和判决风险；意大利法院对两项诉讼均有管辖权，且意大利法允许合并审理。丙申请法国法院依 Article 30 中止或放弃管辖。</x:v>
      </x:c>
      <x:c r="D45" s="28" t="str">
        <x:v>An Italian court is first seised of A's tort action against B, which remains at first instance. A French court is later seised of A's contractual-liability action against C arising from the same investment project. C is domiciled in France, and the French court has an independent basis of international jurisdiction over the second action. The core facts substantially overlap and separate proceedings risk irreconcilable judgments. The Italian court has jurisdiction over both actions, and Italian law permits consolidation. C asks the French court to stay or decline jurisdiction under Article 30.</x:v>
      </x:c>
      <x:c r="E45" s="31" t="str">
        <x:v>Yes</x:v>
      </x:c>
      <x:c r="F45" s="31" t="str">
        <x:v>None.</x:v>
      </x:c>
      <x:c r="G45" s="31" t="str">
        <x:v>N/A</x:v>
      </x:c>
      <x:c r="H45" s="31" t="str">
        <x:v>YiRui Wang</x:v>
      </x:c>
      <x:c r="I45" s="34" t="n">
        <x:v>46269</x:v>
      </x:c>
    </x:row>
    <x:row r="46" ht="62" customHeight="1">
      <x:c r="A46" s="28" t="n">
        <x:v>45</x:v>
      </x:c>
      <x:c r="B46" s="28" t="str">
        <x:v>CL-012</x:v>
      </x:c>
      <x:c r="C46" s="28" t="str">
        <x:v>奥地利法院先受理甲对乙的合同之诉，后因缺乏连接点裁定无管辖并驳回；此前不久，比利时法院已就同一合同起诉立案。</x:v>
      </x:c>
      <x:c r="D46" s="28" t="str">
        <x:v>An Austrian court is first seised of A's contractual action against B but later finds that it lacks jurisdiction and dismisses the action. Proceedings concerning the same contract had been filed in Belgium shortly before the dismissal.</x:v>
      </x:c>
      <x:c r="E46" s="31" t="str">
        <x:v>Yes</x:v>
      </x:c>
      <x:c r="F46" s="31" t="str">
        <x:v>None.</x:v>
      </x:c>
      <x:c r="G46" s="31" t="str">
        <x:v>N/A</x:v>
      </x:c>
      <x:c r="H46" s="31" t="str">
        <x:v>YiRui Wang</x:v>
      </x:c>
      <x:c r="I46" s="34" t="n">
        <x:v>46269</x:v>
      </x:c>
    </x:row>
    <x:row r="47" ht="62" customHeight="1">
      <x:c r="A47" s="28" t="n">
        <x:v>46</x:v>
      </x:c>
      <x:c r="B47" s="28" t="str">
        <x:v>CL-014</x:v>
      </x:c>
      <x:c r="C47" s="28" t="str">
        <x:v>法国和意大利法院几乎同时收到同一当事人就同一合同提起的诉讼，法国法院早数小时登记立案。</x:v>
      </x:c>
      <x:c r="D47" s="28" t="str">
        <x:v>French and Italian courts receive actions between the same parties concerning the same contract almost simultaneously. The French court registers the action several hours earlier.</x:v>
      </x:c>
      <x:c r="E47" s="31" t="str">
        <x:v>Yes</x:v>
      </x:c>
      <x:c r="F47" s="31" t="str">
        <x:v>None.</x:v>
      </x:c>
      <x:c r="G47" s="31" t="str">
        <x:v>N/A</x:v>
      </x:c>
      <x:c r="H47" s="31" t="str">
        <x:v>YiRui Wang</x:v>
      </x:c>
      <x:c r="I47" s="34" t="n">
        <x:v>46269</x:v>
      </x:c>
    </x:row>
    <x:row r="48" ht="62" customHeight="1">
      <x:c r="A48" s="28" t="n">
        <x:v>47</x:v>
      </x:c>
      <x:c r="B48" s="28" t="str">
        <x:v>CL-018</x:v>
      </x:c>
      <x:c r="C48" s="28" t="str">
        <x:v>跨国公司乙在德国注册，但中央管理机构位于法国，同时在西班牙设主要营业地；甲就一般债务在法国起诉乙。</x:v>
      </x:c>
      <x:c r="D48" s="28" t="str">
        <x:v>Multinational company B has its statutory seat in Germany, central administration in France, and principal place of business in Spain. Party A sues B in France on an ordinary debt.</x:v>
      </x:c>
      <x:c r="E48" s="31" t="str">
        <x:v>Needs revision</x:v>
      </x:c>
      <x:c r="F48" s="31" t="str">
        <x:v>`statutory seat in Germany` adds the Article 63(1)(a) legal category; the Chinese states only that the company is registered in Germany.</x:v>
      </x:c>
      <x:c r="G48" s="31" t="str">
        <x:v>Multinational company B is registered in Germany, has its central administration in France, and has its principal place of business in Spain. Party A sues B in France on an ordinary debt.</x:v>
      </x:c>
      <x:c r="H48" s="31" t="str">
        <x:v>YiRui Wang</x:v>
      </x:c>
      <x:c r="I48" s="34" t="n">
        <x:v>46269</x:v>
      </x:c>
    </x:row>
    <x:row r="49" ht="62" customHeight="1">
      <x:c r="A49" s="28" t="n">
        <x:v>48</x:v>
      </x:c>
      <x:c r="B49" s="28" t="str">
        <x:v>CL-016</x:v>
      </x:c>
      <x:c r="C49" s="28" t="str">
        <x:v>乙为意大利居民，与甲在意大利发生纠纷；甲却在葡萄牙起诉乙，案件与葡萄牙并无任何连接因素。</x:v>
      </x:c>
      <x:c r="D49" s="28" t="str">
        <x:v>Party B is domiciled in Italy, and the dispute with Party A arose in Italy. A nevertheless sues B in Portugal, although the dispute has no connection with Portugal.</x:v>
      </x:c>
      <x:c r="E49" s="31" t="str">
        <x:v>Needs revision</x:v>
      </x:c>
      <x:c r="F49" s="31" t="str">
        <x:v>`domiciled in Italy` is stronger than the Chinese `意大利居民` and may predetermine the general-jurisdiction connection.</x:v>
      </x:c>
      <x:c r="G49" s="31" t="str">
        <x:v>Party B is resident in Italy, and the dispute with Party A arose in Italy. A nevertheless sues B in Portugal, although the dispute has no connection with Portugal.</x:v>
      </x:c>
      <x:c r="H49" s="31" t="str">
        <x:v>YiRui Wang</x:v>
      </x:c>
      <x:c r="I49" s="34" t="n">
        <x:v>46269</x:v>
      </x:c>
    </x:row>
    <x:row r="50" ht="62" customHeight="1">
      <x:c r="A50" s="28" t="n">
        <x:v>49</x:v>
      </x:c>
      <x:c r="B50" s="28" t="str">
        <x:v>CL-017</x:v>
      </x:c>
      <x:c r="C50" s="28" t="str">
        <x:v>乙原为西班牙居民，近期搬离但未明确新的长期居住地；甲希望在西班牙起诉乙索要借款。</x:v>
      </x:c>
      <x:c r="D50" s="28" t="str">
        <x:v>Party B was domiciled in Spain but recently moved away without establishing a clear new long-term residence. Party A wishes to sue B in Spain to recover a loan.</x:v>
      </x:c>
      <x:c r="E50" s="31" t="str">
        <x:v>Needs revision</x:v>
      </x:c>
      <x:c r="F50" s="31" t="str">
        <x:v>`was domiciled in Spain` converts the Chinese residence wording into a legal domicile conclusion, which is precisely uncertain after the move.</x:v>
      </x:c>
      <x:c r="G50" s="31" t="str">
        <x:v>Party B was resident in Spain but recently moved away without a clearly established new long-term place of residence. Party A wishes to sue B in Spain to recover a loan.</x:v>
      </x:c>
      <x:c r="H50" s="31" t="str">
        <x:v>YiRui Wang</x:v>
      </x:c>
      <x:c r="I50" s="34" t="n">
        <x:v>46269</x:v>
      </x:c>
    </x:row>
    <x:row r="51" ht="62" customHeight="1">
      <x:c r="A51" s="28" t="n">
        <x:v>50</x:v>
      </x:c>
      <x:c r="B51" s="28" t="str">
        <x:v>CL-015</x:v>
      </x:c>
      <x:c r="C51" s="28" t="str">
        <x:v>乙为西班牙居民；甲就货款在西班牙法院起诉乙。</x:v>
      </x:c>
      <x:c r="D51" s="28" t="str">
        <x:v>Party B is domiciled in Spain. Party A sues B in the Spanish courts for payment of the purchase price.</x:v>
      </x:c>
      <x:c r="E51" s="31" t="str">
        <x:v>Needs revision</x:v>
      </x:c>
      <x:c r="F51" s="31" t="str">
        <x:v>`domiciled in Spain` is stronger than the Chinese `西班牙居民` and may predetermine the Article 4 domicile issue.</x:v>
      </x:c>
      <x:c r="G51" s="31" t="str">
        <x:v>Party B is resident in Spain. Party A sues B in the Spanish courts for payment of the purchase price.</x:v>
      </x:c>
      <x:c r="H51" s="31" t="str">
        <x:v>YiRui Wang</x:v>
      </x:c>
      <x:c r="I51" s="34" t="n">
        <x:v>46269</x:v>
      </x:c>
    </x:row>
    <x:row r="52" ht="62" customHeight="1">
      <x:c r="A52" s="28" t="n">
        <x:v>51</x:v>
      </x:c>
      <x:c r="B52" s="28" t="str">
        <x:v>CL-019</x:v>
      </x:c>
      <x:c r="C52" s="28" t="str">
        <x:v>德国卖方甲向比利时买方乙出售机器，约定交货地在安特卫普；乙主张迟延交货，在比利时起诉甲。</x:v>
      </x:c>
      <x:c r="D52" s="28" t="str">
        <x:v>German seller A sells machinery to Belgian buyer B, with Antwerp as the agreed place of delivery. B alleges late delivery and sues A in Belgium.</x:v>
      </x:c>
      <x:c r="E52" s="31" t="str">
        <x:v>Yes</x:v>
      </x:c>
      <x:c r="F52" s="31" t="str">
        <x:v>None.</x:v>
      </x:c>
      <x:c r="G52" s="31" t="str">
        <x:v>N/A</x:v>
      </x:c>
      <x:c r="H52" s="31" t="str">
        <x:v>YiRui Wang</x:v>
      </x:c>
      <x:c r="I52" s="34" t="n">
        <x:v>46269</x:v>
      </x:c>
    </x:row>
    <x:row r="53" ht="62" customHeight="1">
      <x:c r="A53" s="28" t="n">
        <x:v>52</x:v>
      </x:c>
      <x:c r="B53" s="28" t="str">
        <x:v>CL-020</x:v>
      </x:c>
      <x:c r="C53" s="28" t="str">
        <x:v>西班牙设计师甲为德国企业乙提供市场推广服务，主要在巴塞罗那实施；乙拒付报酬，甲在西班牙法院起诉。</x:v>
      </x:c>
      <x:c r="D53" s="28" t="str">
        <x:v>Spanish designer A provides marketing services to German company B, principally performing them in Barcelona. B refuses payment, and A sues in Spain.</x:v>
      </x:c>
      <x:c r="E53" s="31" t="str">
        <x:v>Yes</x:v>
      </x:c>
      <x:c r="F53" s="31" t="str">
        <x:v>None.</x:v>
      </x:c>
      <x:c r="G53" s="31" t="str">
        <x:v>N/A</x:v>
      </x:c>
      <x:c r="H53" s="31" t="str">
        <x:v>YiRui Wang</x:v>
      </x:c>
      <x:c r="I53" s="34" t="n">
        <x:v>46269</x:v>
      </x:c>
    </x:row>
    <x:row r="54" ht="62" customHeight="1">
      <x:c r="A54" s="28" t="n">
        <x:v>53</x:v>
      </x:c>
      <x:c r="B54" s="28" t="str">
        <x:v>CL-021</x:v>
      </x:c>
      <x:c r="C54" s="28" t="str">
        <x:v>住所位于德国的驾驶员乙在法国度假时因疏忽撞伤住所位于法国的行人甲；甲拟在法国法院起诉乙请求损害赔偿。</x:v>
      </x:c>
      <x:c r="D54" s="28" t="str">
        <x:v>Driver B, domiciled in Germany, negligently injures pedestrian A, domiciled in France, while on holiday in France. A plans to sue B in the French courts for damages.</x:v>
      </x:c>
      <x:c r="E54" s="31" t="str">
        <x:v>Yes</x:v>
      </x:c>
      <x:c r="F54" s="31" t="str">
        <x:v>None.</x:v>
      </x:c>
      <x:c r="G54" s="31" t="str">
        <x:v>N/A</x:v>
      </x:c>
      <x:c r="H54" s="31" t="str">
        <x:v>YiRui Wang</x:v>
      </x:c>
      <x:c r="I54" s="34" t="n">
        <x:v>46269</x:v>
      </x:c>
    </x:row>
    <x:row r="55" ht="62" customHeight="1">
      <x:c r="A55" s="28" t="n">
        <x:v>54</x:v>
      </x:c>
      <x:c r="B55" s="28" t="str">
        <x:v>CL-022</x:v>
      </x:c>
      <x:c r="C55" s="28" t="str">
        <x:v>意大利总公司乙在法国里昂设有分支机构；甲就与该分支机构签订的维修合同在里昂法院起诉乙。</x:v>
      </x:c>
      <x:c r="D55" s="28" t="str">
        <x:v>Italian company B has a branch in Lyon, France. Party A sues B in Lyon over a repair contract concluded with that branch.</x:v>
      </x:c>
      <x:c r="E55" s="31" t="str">
        <x:v>Yes</x:v>
      </x:c>
      <x:c r="F55" s="31" t="str">
        <x:v>None.</x:v>
      </x:c>
      <x:c r="G55" s="31" t="str">
        <x:v>N/A</x:v>
      </x:c>
      <x:c r="H55" s="31" t="str">
        <x:v>YiRui Wang</x:v>
      </x:c>
      <x:c r="I55" s="34" t="n">
        <x:v>46269</x:v>
      </x:c>
    </x:row>
    <x:row r="56" ht="62" customHeight="1">
      <x:c r="A56" s="28" t="n">
        <x:v>55</x:v>
      </x:c>
      <x:c r="B56" s="28" t="str">
        <x:v>CL-025</x:v>
      </x:c>
      <x:c r="C56" s="28" t="str">
        <x:v>住所位于德国的被告乙被甲诉至葡萄牙法院；案件与葡萄牙不存在其他管辖连接点。乙仅为提出管辖异议而出庭，未就实体答辩。</x:v>
      </x:c>
      <x:c r="D56" s="28" t="str">
        <x:v>Defendant B, domiciled in Germany, is sued by A in Portugal. The case has no other jurisdictional connection with Portugal. B appears solely to contest jurisdiction and does not argue the merits.</x:v>
      </x:c>
      <x:c r="E56" s="31" t="str">
        <x:v>Yes</x:v>
      </x:c>
      <x:c r="F56" s="31" t="str">
        <x:v>None.</x:v>
      </x:c>
      <x:c r="G56" s="31" t="str">
        <x:v>N/A</x:v>
      </x:c>
      <x:c r="H56" s="31" t="str">
        <x:v>YiRui Wang</x:v>
      </x:c>
      <x:c r="I56" s="34" t="n">
        <x:v>46269</x:v>
      </x:c>
    </x:row>
    <x:row r="57" ht="62" customHeight="1">
      <x:c r="A57" s="28" t="n">
        <x:v>56</x:v>
      </x:c>
      <x:c r="B57" s="28" t="str">
        <x:v>CL-027</x:v>
      </x:c>
      <x:c r="C57" s="28" t="str">
        <x:v>德国法院受理关于法国不动产物权的争议，乙出庭并对实体答辩未提管辖异议。</x:v>
      </x:c>
      <x:c r="D57" s="28" t="str">
        <x:v>A German court hears a dispute concerning rights in rem in French immovable property. Party B appears and argues the merits without contesting jurisdiction.</x:v>
      </x:c>
      <x:c r="E57" s="31" t="str">
        <x:v>Yes</x:v>
      </x:c>
      <x:c r="F57" s="31" t="str">
        <x:v>None.</x:v>
      </x:c>
      <x:c r="G57" s="31" t="str">
        <x:v>N/A</x:v>
      </x:c>
      <x:c r="H57" s="31" t="str">
        <x:v>YiRui Wang</x:v>
      </x:c>
      <x:c r="I57" s="34" t="n">
        <x:v>46269</x:v>
      </x:c>
    </x:row>
    <x:row r="58" ht="62" customHeight="1">
      <x:c r="A58" s="28" t="n">
        <x:v>57</x:v>
      </x:c>
      <x:c r="B58" s="28" t="str">
        <x:v>CL-028</x:v>
      </x:c>
      <x:c r="C58" s="28" t="str">
        <x:v>德国法院受理企业商家甲诉法国消费者乙的消费合同纠纷；乙在收到起诉状时被书面告知有权对管辖提出异议及其后果，仍到庭就实体进行答辩。</x:v>
      </x:c>
      <x:c r="D58" s="28" t="str">
        <x:v>A German court hears a consumer-contract action brought by business trader A against French consumer B. On receiving the claim, B was informed in writing of the right to contest jurisdiction and the consequences of appearing, but nevertheless appears and argues the merits.</x:v>
      </x:c>
      <x:c r="E58" s="31" t="str">
        <x:v>Yes</x:v>
      </x:c>
      <x:c r="F58" s="31" t="str">
        <x:v>None.</x:v>
      </x:c>
      <x:c r="G58" s="31" t="str">
        <x:v>N/A</x:v>
      </x:c>
      <x:c r="H58" s="31" t="str">
        <x:v>YiRui Wang</x:v>
      </x:c>
      <x:c r="I58" s="34" t="n">
        <x:v>46269</x:v>
      </x:c>
    </x:row>
    <x:row r="59" ht="62" customHeight="1">
      <x:c r="A59" s="28" t="n">
        <x:v>58</x:v>
      </x:c>
      <x:c r="B59" s="28" t="str">
        <x:v>CL-026</x:v>
      </x:c>
      <x:c r="C59" s="28" t="str">
        <x:v>西班牙法院受理甲诉乙之债务纠纷，乙完全缺席；法院查明起诉状已依欧盟送达规则妥为送达。</x:v>
      </x:c>
      <x:c r="D59" s="28" t="str">
        <x:v>A Spanish court hears A's debt action against B. B does not appear at all, and the court establishes that the claim form was duly served under the EU service rules.</x:v>
      </x:c>
      <x:c r="E59" s="31" t="str">
        <x:v>Yes</x:v>
      </x:c>
      <x:c r="F59" s="31" t="str">
        <x:v>None.</x:v>
      </x:c>
      <x:c r="G59" s="31" t="str">
        <x:v>N/A</x:v>
      </x:c>
      <x:c r="H59" s="31" t="str">
        <x:v>YiRui Wang</x:v>
      </x:c>
      <x:c r="I59" s="34" t="n">
        <x:v>46269</x:v>
      </x:c>
    </x:row>
    <x:row r="60" ht="62" customHeight="1">
      <x:c r="A60" s="28" t="n">
        <x:v>59</x:v>
      </x:c>
      <x:c r="B60" s="28" t="str">
        <x:v>CL-004</x:v>
      </x:c>
      <x:c r="C60" s="28" t="str">
        <x:v>意大利法院受理请求宣告德国注册商标无效之诉；被告出庭对实体答辩未提管辖异议。</x:v>
      </x:c>
      <x:c r="D60" s="28" t="str">
        <x:v>An Italian court hears an action seeking a declaration that a trade mark registered in Germany is invalid. The defendant appears and argues the merits without contesting jurisdiction.</x:v>
      </x:c>
      <x:c r="E60" s="31" t="str">
        <x:v>Yes</x:v>
      </x:c>
      <x:c r="F60" s="31" t="str">
        <x:v>None.</x:v>
      </x:c>
      <x:c r="G60" s="31" t="str">
        <x:v>N/A</x:v>
      </x:c>
      <x:c r="H60" s="31" t="str">
        <x:v>YiRui Wang</x:v>
      </x:c>
      <x:c r="I60" s="34" t="n">
        <x:v>46269</x:v>
      </x:c>
    </x:row>
    <x:row r="61" ht="62" customHeight="1">
      <x:c r="A61" s="29" t="n">
        <x:v>60</x:v>
      </x:c>
      <x:c r="B61" s="29" t="str">
        <x:v>CL-028</x:v>
      </x:c>
      <x:c r="C61" s="29" t="str">
        <x:v>爱尔兰法院受理雇主甲对法国雇员乙的劳动合同争议；乙到庭就实体答辩，但卷宗中未见法院曾告知其可对管辖提出异议。</x:v>
      </x:c>
      <x:c r="D61" s="29" t="str">
        <x:v>An Irish court hears an employment-contract action brought by employer A against French employee B. B appears and argues the merits, but the file contains no indication that the court informed B of the right to contest jurisdiction.</x:v>
      </x:c>
      <x:c r="E61" s="32" t="str">
        <x:v>Yes</x:v>
      </x:c>
      <x:c r="F61" s="32" t="str">
        <x:v>None.</x:v>
      </x:c>
      <x:c r="G61" s="32" t="str">
        <x:v>N/A</x:v>
      </x:c>
      <x:c r="H61" s="32" t="str">
        <x:v>YiRui Wang</x:v>
      </x:c>
      <x:c r="I61" s="35" t="n">
        <x:v>46269</x:v>
      </x:c>
    </x:row>
  </x:sheetData>
  <x:dataValidations count="1">
    <x:dataValidation type="list" sqref="E2:E61">
      <x:formula1>"Yes,Needs revision,No"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32" hidden="0" customWidth="1"/>
    <x:col min="3" max="3" width="54" hidden="0" customWidth="1"/>
    <x:col min="4" max="4" width="52" hidden="0" customWidth="1"/>
    <x:col min="5" max="5" width="52" hidden="0" customWidth="1"/>
    <x:col min="6" max="6" width="20" hidden="0" customWidth="1"/>
    <x:col min="7" max="7" width="42" hidden="0" customWidth="1"/>
    <x:col min="8" max="8" width="20" hidden="0" customWidth="1"/>
    <x:col min="9" max="9" width="14" hidden="0" customWidth="1"/>
  </x:cols>
  <x:sheetData>
    <x:row r="1" ht="34" customHeight="1">
      <x:c r="A1" s="24" t="str">
        <x:v>Evidence ID</x:v>
      </x:c>
      <x:c r="B1" s="25" t="str">
        <x:v>Instrument</x:v>
      </x:c>
      <x:c r="C1" s="25" t="str">
        <x:v>Official EUR-Lex URL</x:v>
      </x:c>
      <x:c r="D1" s="25" t="str">
        <x:v>Chinese source paraphrase</x:v>
      </x:c>
      <x:c r="E1" s="25" t="str">
        <x:v>English candidate paraphrase</x:v>
      </x:c>
      <x:c r="F1" s="25" t="str">
        <x:v>Substantively faithful?</x:v>
      </x:c>
      <x:c r="G1" s="25" t="str">
        <x:v>Proposed correction</x:v>
      </x:c>
      <x:c r="H1" s="25" t="str">
        <x:v>Reviewer</x:v>
      </x:c>
      <x:c r="I1" s="26" t="str">
        <x:v>Review date</x:v>
      </x:c>
    </x:row>
    <x:row r="2" ht="74" customHeight="1">
      <x:c r="A2" s="27" t="str">
        <x:v>BRUSSELS_I_BIS:Art.17(1)(c)</x:v>
      </x:c>
      <x:c r="B2" s="27" t="str">
        <x:v>Regulation (EU) No 1215/2012 (Brussels I bis)</x:v>
      </x:c>
      <x:c r="C2" s="27" t="str">
        <x:v>https://eur-lex.europa.eu/eli/reg/2012/1215/2015-02-26/eng</x:v>
      </x:c>
      <x:c r="D2" s="27" t="str">
        <x:v>消费者合同保护性管辖适用于本条规定的经营活动和定向经营等情形。</x:v>
      </x:c>
      <x:c r="E2" s="30" t="str">
        <x:v>The protective consumer-contract rules apply where the trader pursues or directs commercial activities to the consumer's Member State in the circumstances specified by this provision.</x:v>
      </x:c>
      <x:c r="F2" s="30" t="str">
        <x:v>Yes</x:v>
      </x:c>
      <x:c r="G2" s="30" t="str">
        <x:v>N/A</x:v>
      </x:c>
      <x:c r="H2" s="30" t="str">
        <x:v>YiRui Wang</x:v>
      </x:c>
      <x:c r="I2" s="33" t="n">
        <x:v>46269</x:v>
      </x:c>
    </x:row>
    <x:row r="3" ht="74" customHeight="1">
      <x:c r="A3" s="28" t="str">
        <x:v>BRUSSELS_I_BIS:Art.18(1)</x:v>
      </x:c>
      <x:c r="B3" s="28" t="str">
        <x:v>Regulation (EU) No 1215/2012 (Brussels I bis)</x:v>
      </x:c>
      <x:c r="C3" s="28" t="str">
        <x:v>https://eur-lex.europa.eu/eli/reg/2012/1215/2015-02-26/eng</x:v>
      </x:c>
      <x:c r="D3" s="28" t="str">
        <x:v>消费者可在本条允许的法院起诉；经营者起诉消费者通常须在消费者住所地。</x:v>
      </x:c>
      <x:c r="E3" s="31" t="str">
        <x:v>A consumer may sue the other contracting party either in the courts of that party's Member State of domicile or, regardless of that party's domicile, in the courts for the place where the consumer is domiciled.</x:v>
      </x:c>
      <x:c r="F3" s="31" t="str">
        <x:v>Yes</x:v>
      </x:c>
      <x:c r="G3" s="31" t="str">
        <x:v>N/A</x:v>
      </x:c>
      <x:c r="H3" s="31" t="str">
        <x:v>YiRui Wang</x:v>
      </x:c>
      <x:c r="I3" s="34" t="n">
        <x:v>46269</x:v>
      </x:c>
    </x:row>
    <x:row r="4" ht="74" customHeight="1">
      <x:c r="A4" s="28" t="str">
        <x:v>BRUSSELS_I_BIS:Art.18(2)</x:v>
      </x:c>
      <x:c r="B4" s="28" t="str">
        <x:v>Regulation (EU) No 1215/2012 (Brussels I bis)</x:v>
      </x:c>
      <x:c r="C4" s="28" t="str">
        <x:v>https://eur-lex.europa.eu/eli/reg/2012/1215/2015-02-26/eng</x:v>
      </x:c>
      <x:c r="D4" s="28" t="str">
        <x:v>消费者可在本条允许的法院起诉；经营者起诉消费者通常须在消费者住所地。</x:v>
      </x:c>
      <x:c r="E4" s="31" t="str">
        <x:v>The other contracting party may sue a consumer only in the courts of the Member State in which the consumer is domiciled.</x:v>
      </x:c>
      <x:c r="F4" s="31" t="str">
        <x:v>Yes</x:v>
      </x:c>
      <x:c r="G4" s="31" t="str">
        <x:v>N/A</x:v>
      </x:c>
      <x:c r="H4" s="31" t="str">
        <x:v>YiRui Wang</x:v>
      </x:c>
      <x:c r="I4" s="34" t="n">
        <x:v>46269</x:v>
      </x:c>
    </x:row>
    <x:row r="5" ht="74" customHeight="1">
      <x:c r="A5" s="28" t="str">
        <x:v>BRUSSELS_I_BIS:Art.19</x:v>
      </x:c>
      <x:c r="B5" s="28" t="str">
        <x:v>Regulation (EU) No 1215/2012 (Brussels I bis)</x:v>
      </x:c>
      <x:c r="C5" s="28" t="str">
        <x:v>https://eur-lex.europa.eu/eli/reg/2012/1215/2015-02-26/eng</x:v>
      </x:c>
      <x:c r="D5" s="28" t="str">
        <x:v>消费者合同中的选择法院协议只有在本条列明条件下才能偏离保护性规则。</x:v>
      </x:c>
      <x:c r="E5" s="31" t="str">
        <x:v>A choice-of-court agreement in a consumer contract may depart from the protective jurisdiction rules only under the conditions stated in this provision.</x:v>
      </x:c>
      <x:c r="F5" s="31" t="str">
        <x:v>Yes</x:v>
      </x:c>
      <x:c r="G5" s="31" t="str">
        <x:v>N/A</x:v>
      </x:c>
      <x:c r="H5" s="31" t="str">
        <x:v>YiRui Wang</x:v>
      </x:c>
      <x:c r="I5" s="34" t="n">
        <x:v>46269</x:v>
      </x:c>
    </x:row>
    <x:row r="6" ht="74" customHeight="1">
      <x:c r="A6" s="28" t="str">
        <x:v>BRUSSELS_I_BIS:Art.22(1)</x:v>
      </x:c>
      <x:c r="B6" s="28" t="str">
        <x:v>Regulation (EU) No 1215/2012 (Brussels I bis)</x:v>
      </x:c>
      <x:c r="C6" s="28" t="str">
        <x:v>https://eur-lex.europa.eu/eli/reg/2012/1215/2015-02-26/eng</x:v>
      </x:c>
      <x:c r="D6" s="28" t="str">
        <x:v>雇主对雇员提起诉讼原则上只能在雇员住所地成员国法院进行。</x:v>
      </x:c>
      <x:c r="E6" s="31" t="str">
        <x:v>An employer generally may bring proceedings against an employee only in the courts of the Member State in which the employee is domiciled.</x:v>
      </x:c>
      <x:c r="F6" s="31" t="str">
        <x:v>Yes</x:v>
      </x:c>
      <x:c r="G6" s="31" t="str">
        <x:v>N/A</x:v>
      </x:c>
      <x:c r="H6" s="31" t="str">
        <x:v>YiRui Wang</x:v>
      </x:c>
      <x:c r="I6" s="34" t="n">
        <x:v>46269</x:v>
      </x:c>
    </x:row>
    <x:row r="7" ht="74" customHeight="1">
      <x:c r="A7" s="28" t="str">
        <x:v>BRUSSELS_I_BIS:Art.24</x:v>
      </x:c>
      <x:c r="B7" s="28" t="str">
        <x:v>Regulation (EU) No 1215/2012 (Brussels I bis)</x:v>
      </x:c>
      <x:c r="C7" s="28" t="str">
        <x:v>https://eur-lex.europa.eu/eli/reg/2012/1215/2015-02-26/eng</x:v>
      </x:c>
      <x:c r="D7" s="28" t="str">
        <x:v>不论当事人住所，不动产物权、法人机关决议、公共登记、工业产权登记效力和判决执行等事项适用专属管辖。</x:v>
      </x:c>
      <x:c r="E7" s="31" t="str">
        <x:v>Article 24 assigns exclusive jurisdiction, regardless of the parties' domicile, for the listed subject matters.</x:v>
      </x:c>
      <x:c r="F7" s="31" t="str">
        <x:v>Yes</x:v>
      </x:c>
      <x:c r="G7" s="31" t="str">
        <x:v>N/A</x:v>
      </x:c>
      <x:c r="H7" s="31" t="str">
        <x:v>YiRui Wang</x:v>
      </x:c>
      <x:c r="I7" s="34" t="n">
        <x:v>46269</x:v>
      </x:c>
    </x:row>
    <x:row r="8" ht="74" customHeight="1">
      <x:c r="A8" s="28" t="str">
        <x:v>BRUSSELS_I_BIS:Art.24(1)</x:v>
      </x:c>
      <x:c r="B8" s="28" t="str">
        <x:v>Regulation (EU) No 1215/2012 (Brussels I bis)</x:v>
      </x:c>
      <x:c r="C8" s="28" t="str">
        <x:v>https://eur-lex.europa.eu/eli/reg/2012/1215/2015-02-26/eng</x:v>
      </x:c>
      <x:c r="D8" s="28" t="str">
        <x:v>不论当事人住所，不动产物权、法人机关决议、公共登记、工业产权登记效力和判决执行等事项适用专属管辖。</x:v>
      </x:c>
      <x:c r="E8" s="31" t="str">
        <x:v>Proceedings whose object is rights in rem in, or tenancies of, immovable property are generally within the exclusive jurisdiction of the courts of the Member State where the property is situated, subject to the stated short private-tenancy exception.</x:v>
      </x:c>
      <x:c r="F8" s="31" t="str">
        <x:v>Yes</x:v>
      </x:c>
      <x:c r="G8" s="31" t="str">
        <x:v>N/A</x:v>
      </x:c>
      <x:c r="H8" s="31" t="str">
        <x:v>YiRui Wang</x:v>
      </x:c>
      <x:c r="I8" s="34" t="n">
        <x:v>46269</x:v>
      </x:c>
    </x:row>
    <x:row r="9" ht="74" customHeight="1">
      <x:c r="A9" s="28" t="str">
        <x:v>BRUSSELS_I_BIS:Art.24(2)</x:v>
      </x:c>
      <x:c r="B9" s="28" t="str">
        <x:v>Regulation (EU) No 1215/2012 (Brussels I bis)</x:v>
      </x:c>
      <x:c r="C9" s="28" t="str">
        <x:v>https://eur-lex.europa.eu/eli/reg/2012/1215/2015-02-26/eng</x:v>
      </x:c>
      <x:c r="D9" s="28" t="str">
        <x:v>公司或法人有效性、解散以及其机关决议有效性争议，由其住所地成员国法院专属管辖。</x:v>
      </x:c>
      <x:c r="E9" s="31" t="str">
        <x:v>Proceedings principally concerned with the validity, nullity, or dissolution of a company or the validity of decisions of its organs are within the exclusive jurisdiction of the courts of the Member State in which the company has its seat.</x:v>
      </x:c>
      <x:c r="F9" s="31" t="str">
        <x:v>Yes</x:v>
      </x:c>
      <x:c r="G9" s="31" t="str">
        <x:v>N/A</x:v>
      </x:c>
      <x:c r="H9" s="31" t="str">
        <x:v>YiRui Wang</x:v>
      </x:c>
      <x:c r="I9" s="34" t="n">
        <x:v>46269</x:v>
      </x:c>
    </x:row>
    <x:row r="10" ht="74" customHeight="1">
      <x:c r="A10" s="28" t="str">
        <x:v>BRUSSELS_I_BIS:Art.24(3)</x:v>
      </x:c>
      <x:c r="B10" s="28" t="str">
        <x:v>Regulation (EU) No 1215/2012 (Brussels I bis)</x:v>
      </x:c>
      <x:c r="C10" s="28" t="str">
        <x:v>https://eur-lex.europa.eu/eli/reg/2012/1215/2015-02-26/eng</x:v>
      </x:c>
      <x:c r="D10" s="28" t="str">
        <x:v>不论当事人住所，不动产物权、法人机关决议、公共登记、工业产权登记效力和判决执行等事项适用专属管辖。</x:v>
      </x:c>
      <x:c r="E10" s="31" t="str">
        <x:v>Proceedings whose object is the validity of entries in public registers are within the exclusive jurisdiction of the courts of the Member State in which the register is kept.</x:v>
      </x:c>
      <x:c r="F10" s="31" t="str">
        <x:v>Yes</x:v>
      </x:c>
      <x:c r="G10" s="31" t="str">
        <x:v>N/A</x:v>
      </x:c>
      <x:c r="H10" s="31" t="str">
        <x:v>YiRui Wang</x:v>
      </x:c>
      <x:c r="I10" s="34" t="n">
        <x:v>46269</x:v>
      </x:c>
    </x:row>
    <x:row r="11" ht="74" customHeight="1">
      <x:c r="A11" s="28" t="str">
        <x:v>BRUSSELS_I_BIS:Art.24(4)</x:v>
      </x:c>
      <x:c r="B11" s="28" t="str">
        <x:v>Regulation (EU) No 1215/2012 (Brussels I bis)</x:v>
      </x:c>
      <x:c r="C11" s="28" t="str">
        <x:v>https://eur-lex.europa.eu/eli/reg/2012/1215/2015-02-26/eng</x:v>
      </x:c>
      <x:c r="D11" s="28" t="str">
        <x:v>专利、国家商标等登记权利的注册或有效性争议，由登记地成员国法院专属管辖。</x:v>
      </x:c>
      <x:c r="E11" s="31" t="str">
        <x:v>Proceedings principally concerned with the registration or validity of patents, national trade marks, and comparable registered rights are within the exclusive jurisdiction of the courts of the Member State of registration.</x:v>
      </x:c>
      <x:c r="F11" s="31" t="str">
        <x:v>Needs revision</x:v>
      </x:c>
      <x:c r="G11" s="31" t="str">
        <x:v>Proceedings concerned with the registration or validity of patents, trade marks, designs, or other similar rights required to be deposited or registered fall within the exclusive jurisdiction of the courts of the Member State in which the deposit or registration has been applied for, has taken place, or is deemed to have taken place, irrespective of whether the issue is raised by way of an action or as a defence.</x:v>
      </x:c>
      <x:c r="H11" s="31" t="str">
        <x:v>YiRui Wang</x:v>
      </x:c>
      <x:c r="I11" s="34" t="n">
        <x:v>46269</x:v>
      </x:c>
    </x:row>
    <x:row r="12" ht="74" customHeight="1">
      <x:c r="A12" s="28" t="str">
        <x:v>BRUSSELS_I_BIS:Art.24(5)</x:v>
      </x:c>
      <x:c r="B12" s="28" t="str">
        <x:v>Regulation (EU) No 1215/2012 (Brussels I bis)</x:v>
      </x:c>
      <x:c r="C12" s="28" t="str">
        <x:v>https://eur-lex.europa.eu/eli/reg/2012/1215/2015-02-26/eng</x:v>
      </x:c>
      <x:c r="D12" s="28" t="str">
        <x:v>涉及判决执行的诉讼，由执行地成员国法院专属管辖。</x:v>
      </x:c>
      <x:c r="E12" s="31" t="str">
        <x:v>Proceedings concerned with enforcement of judgments are within the exclusive jurisdiction of the courts of the Member State in which enforcement takes place or is sought.</x:v>
      </x:c>
      <x:c r="F12" s="31" t="str">
        <x:v>Yes</x:v>
      </x:c>
      <x:c r="G12" s="31" t="str">
        <x:v>N/A</x:v>
      </x:c>
      <x:c r="H12" s="31" t="str">
        <x:v>YiRui Wang</x:v>
      </x:c>
      <x:c r="I12" s="34" t="n">
        <x:v>46269</x:v>
      </x:c>
    </x:row>
    <x:row r="13" ht="74" customHeight="1">
      <x:c r="A13" s="28" t="str">
        <x:v>BRUSSELS_I_BIS:Art.25</x:v>
      </x:c>
      <x:c r="B13" s="28" t="str">
        <x:v>Regulation (EU) No 1215/2012 (Brussels I bis)</x:v>
      </x:c>
      <x:c r="C13" s="28" t="str">
        <x:v>https://eur-lex.europa.eu/eli/reg/2012/1215/2015-02-26/eng</x:v>
      </x:c>
      <x:c r="D13" s="28" t="str">
        <x:v>符合形式与实质条件的成员国法院选择协议可赋予指定法院管辖，原则上具有专属性。</x:v>
      </x:c>
      <x:c r="E13" s="31" t="str">
        <x:v>Article 25 governs agreements conferring jurisdiction on a court or the courts of a Member State.</x:v>
      </x:c>
      <x:c r="F13" s="31" t="str">
        <x:v>Yes</x:v>
      </x:c>
      <x:c r="G13" s="31" t="str">
        <x:v>N/A</x:v>
      </x:c>
      <x:c r="H13" s="31" t="str">
        <x:v>YiRui Wang</x:v>
      </x:c>
      <x:c r="I13" s="34" t="n">
        <x:v>46269</x:v>
      </x:c>
    </x:row>
    <x:row r="14" ht="74" customHeight="1">
      <x:c r="A14" s="28" t="str">
        <x:v>BRUSSELS_I_BIS:Art.25(1)</x:v>
      </x:c>
      <x:c r="B14" s="28" t="str">
        <x:v>Regulation (EU) No 1215/2012 (Brussels I bis)</x:v>
      </x:c>
      <x:c r="C14" s="28" t="str">
        <x:v>https://eur-lex.europa.eu/eli/reg/2012/1215/2015-02-26/eng</x:v>
      </x:c>
      <x:c r="D14" s="28" t="str">
        <x:v>符合形式与实质条件的成员国法院选择协议可赋予指定法院管辖，原则上具有专属性。</x:v>
      </x:c>
      <x:c r="E14" s="31" t="str">
        <x:v>A choice-of-court agreement satisfying the stated formal and substantive conditions confers jurisdiction on the designated Member State court and is exclusive unless the parties agree otherwise.</x:v>
      </x:c>
      <x:c r="F14" s="31" t="str">
        <x:v>Yes</x:v>
      </x:c>
      <x:c r="G14" s="31" t="str">
        <x:v>N/A</x:v>
      </x:c>
      <x:c r="H14" s="31" t="str">
        <x:v>YiRui Wang</x:v>
      </x:c>
      <x:c r="I14" s="34" t="n">
        <x:v>46269</x:v>
      </x:c>
    </x:row>
    <x:row r="15" ht="74" customHeight="1">
      <x:c r="A15" s="28" t="str">
        <x:v>BRUSSELS_I_BIS:Art.25(2)</x:v>
      </x:c>
      <x:c r="B15" s="28" t="str">
        <x:v>Regulation (EU) No 1215/2012 (Brussels I bis)</x:v>
      </x:c>
      <x:c r="C15" s="28" t="str">
        <x:v>https://eur-lex.europa.eu/eli/reg/2012/1215/2015-02-26/eng</x:v>
      </x:c>
      <x:c r="D15" s="28" t="str">
        <x:v>符合形式与实质条件的成员国法院选择协议可赋予指定法院管辖，原则上具有专属性。</x:v>
      </x:c>
      <x:c r="E15" s="31" t="str">
        <x:v>Electronic communication that provides a durable record of a jurisdiction agreement is equivalent to writing.</x:v>
      </x:c>
      <x:c r="F15" s="31" t="str">
        <x:v>Yes</x:v>
      </x:c>
      <x:c r="G15" s="31" t="str">
        <x:v>N/A</x:v>
      </x:c>
      <x:c r="H15" s="31" t="str">
        <x:v>YiRui Wang</x:v>
      </x:c>
      <x:c r="I15" s="34" t="n">
        <x:v>46269</x:v>
      </x:c>
    </x:row>
    <x:row r="16" ht="74" customHeight="1">
      <x:c r="A16" s="28" t="str">
        <x:v>BRUSSELS_I_BIS:Art.25(4)</x:v>
      </x:c>
      <x:c r="B16" s="28" t="str">
        <x:v>Regulation (EU) No 1215/2012 (Brussels I bis)</x:v>
      </x:c>
      <x:c r="C16" s="28" t="str">
        <x:v>https://eur-lex.europa.eu/eli/reg/2012/1215/2015-02-26/eng</x:v>
      </x:c>
      <x:c r="D16" s="28" t="str">
        <x:v>符合形式与实质条件的成员国法院选择协议可赋予指定法院管辖，原则上具有专属性。</x:v>
      </x:c>
      <x:c r="E16" s="31" t="str">
        <x:v>A jurisdiction agreement has no legal force if it conflicts with the specified protective-jurisdiction provisions or purports to exclude a court having exclusive jurisdiction under Article 24.</x:v>
      </x:c>
      <x:c r="F16" s="31" t="str">
        <x:v>Yes</x:v>
      </x:c>
      <x:c r="G16" s="31" t="str">
        <x:v>N/A</x:v>
      </x:c>
      <x:c r="H16" s="31" t="str">
        <x:v>YiRui Wang</x:v>
      </x:c>
      <x:c r="I16" s="34" t="n">
        <x:v>46269</x:v>
      </x:c>
    </x:row>
    <x:row r="17" ht="74" customHeight="1">
      <x:c r="A17" s="28" t="str">
        <x:v>BRUSSELS_I_BIS:Art.26(1)</x:v>
      </x:c>
      <x:c r="B17" s="28" t="str">
        <x:v>Regulation (EU) No 1215/2012 (Brussels I bis)</x:v>
      </x:c>
      <x:c r="C17" s="28" t="str">
        <x:v>https://eur-lex.europa.eu/eli/reg/2012/1215/2015-02-26/eng</x:v>
      </x:c>
      <x:c r="D17" s="28" t="str">
        <x:v>被告就实体应诉可使法院取得管辖，但仅为提出管辖异议而出庭除外。</x:v>
      </x:c>
      <x:c r="E17" s="31" t="str">
        <x:v>A court may acquire jurisdiction when the defendant appears and argues the merits without contesting jurisdiction, except where the appearance is solely to contest jurisdiction or Article 24 confers exclusive jurisdiction elsewhere.</x:v>
      </x:c>
      <x:c r="F17" s="31" t="str">
        <x:v>Needs revision</x:v>
      </x:c>
      <x:c r="G17" s="31" t="str">
        <x:v>Apart from jurisdiction derived from other provisions of the Regulation, a court of a Member State before which a defendant enters an appearance has jurisdiction, except where the appearance was entered to contest jurisdiction or another court has exclusive jurisdiction under Article 24.</x:v>
      </x:c>
      <x:c r="H17" s="31" t="str">
        <x:v>YiRui Wang</x:v>
      </x:c>
      <x:c r="I17" s="34" t="n">
        <x:v>46269</x:v>
      </x:c>
    </x:row>
    <x:row r="18" ht="74" customHeight="1">
      <x:c r="A18" s="28" t="str">
        <x:v>BRUSSELS_I_BIS:Art.26(2)</x:v>
      </x:c>
      <x:c r="B18" s="28" t="str">
        <x:v>Regulation (EU) No 1215/2012 (Brussels I bis)</x:v>
      </x:c>
      <x:c r="C18" s="28" t="str">
        <x:v>https://eur-lex.europa.eu/eli/reg/2012/1215/2015-02-26/eng</x:v>
      </x:c>
      <x:c r="D18" s="28" t="str">
        <x:v>被告就实体应诉可使法院取得管辖，但仅为争议管辖而出庭以及专属管辖事项除外；弱势方案件另有告知要求。</x:v>
      </x:c>
      <x:c r="E18" s="31" t="str">
        <x:v>For specified weaker parties, jurisdiction based on appearance requires the court to ensure that the defendant was informed of the right to contest jurisdiction and of the consequences of appearing or not appearing.</x:v>
      </x:c>
      <x:c r="F18" s="31" t="str">
        <x:v>Yes</x:v>
      </x:c>
      <x:c r="G18" s="31" t="str">
        <x:v>N/A</x:v>
      </x:c>
      <x:c r="H18" s="31" t="str">
        <x:v>YiRui Wang</x:v>
      </x:c>
      <x:c r="I18" s="34" t="n">
        <x:v>46269</x:v>
      </x:c>
    </x:row>
    <x:row r="19" ht="74" customHeight="1">
      <x:c r="A19" s="28" t="str">
        <x:v>BRUSSELS_I_BIS:Art.27</x:v>
      </x:c>
      <x:c r="B19" s="28" t="str">
        <x:v>Regulation (EU) No 1215/2012 (Brussels I bis)</x:v>
      </x:c>
      <x:c r="C19" s="28" t="str">
        <x:v>https://eur-lex.europa.eu/eli/reg/2012/1215/2015-02-26/eng</x:v>
      </x:c>
      <x:c r="D19" s="28" t="str">
        <x:v>当另一成员国法院依 Article 24 享有专属管辖时，受诉法院应依职权宣告无管辖权。</x:v>
      </x:c>
      <x:c r="E19" s="31" t="str">
        <x:v>When the courts of another Member State have exclusive jurisdiction under Article 24, the court seised must declare of its own motion that it has no jurisdiction.</x:v>
      </x:c>
      <x:c r="F19" s="31" t="str">
        <x:v>Yes</x:v>
      </x:c>
      <x:c r="G19" s="31" t="str">
        <x:v>N/A</x:v>
      </x:c>
      <x:c r="H19" s="31" t="str">
        <x:v>YiRui Wang</x:v>
      </x:c>
      <x:c r="I19" s="34" t="n">
        <x:v>46269</x:v>
      </x:c>
    </x:row>
    <x:row r="20" ht="74" customHeight="1">
      <x:c r="A20" s="28" t="str">
        <x:v>BRUSSELS_I_BIS:Art.28(1)</x:v>
      </x:c>
      <x:c r="B20" s="28" t="str">
        <x:v>Regulation (EU) No 1215/2012 (Brussels I bis)</x:v>
      </x:c>
      <x:c r="C20" s="28" t="str">
        <x:v>https://eur-lex.europa.eu/eli/reg/2012/1215/2015-02-26/eng</x:v>
      </x:c>
      <x:c r="D20" s="28" t="str">
        <x:v>被告缺席时，法院应依职权审查管辖，并在送达和防御权条件满足前暂停程序。</x:v>
      </x:c>
      <x:c r="E20" s="31" t="str">
        <x:v>If a defendant domiciled in one Member State is sued in another Member State and does not appear, the court must declare of its own motion that it lacks jurisdiction unless jurisdiction follows from the Regulation.</x:v>
      </x:c>
      <x:c r="F20" s="31" t="str">
        <x:v>Yes</x:v>
      </x:c>
      <x:c r="G20" s="31" t="str">
        <x:v>N/A</x:v>
      </x:c>
      <x:c r="H20" s="31" t="str">
        <x:v>YiRui Wang</x:v>
      </x:c>
      <x:c r="I20" s="34" t="n">
        <x:v>46269</x:v>
      </x:c>
    </x:row>
    <x:row r="21" ht="74" customHeight="1">
      <x:c r="A21" s="28" t="str">
        <x:v>BRUSSELS_I_BIS:Art.28(2)</x:v>
      </x:c>
      <x:c r="B21" s="28" t="str">
        <x:v>Regulation (EU) No 1215/2012 (Brussels I bis)</x:v>
      </x:c>
      <x:c r="C21" s="28" t="str">
        <x:v>https://eur-lex.europa.eu/eli/reg/2012/1215/2015-02-26/eng</x:v>
      </x:c>
      <x:c r="D21" s="28" t="str">
        <x:v>被告缺席时，法院应依职权审查管辖，并在送达和防御权条件满足前暂停程序。</x:v>
      </x:c>
      <x:c r="E21" s="31" t="str">
        <x:v>In the default-of-appearance situation, the court must stay proceedings until the defendant received the initiating document in time to defend or all necessary service steps were taken.</x:v>
      </x:c>
      <x:c r="F21" s="31" t="str">
        <x:v>Yes</x:v>
      </x:c>
      <x:c r="G21" s="31" t="str">
        <x:v>N/A</x:v>
      </x:c>
      <x:c r="H21" s="31" t="str">
        <x:v>YiRui Wang</x:v>
      </x:c>
      <x:c r="I21" s="34" t="n">
        <x:v>46269</x:v>
      </x:c>
    </x:row>
    <x:row r="22" ht="74" customHeight="1">
      <x:c r="A22" s="28" t="str">
        <x:v>BRUSSELS_I_BIS:Art.28(3)</x:v>
      </x:c>
      <x:c r="B22" s="28" t="str">
        <x:v>Regulation (EU) No 1215/2012 (Brussels I bis)</x:v>
      </x:c>
      <x:c r="C22" s="28" t="str">
        <x:v>https://eur-lex.europa.eu/eli/reg/2012/1215/2015-02-26/eng</x:v>
      </x:c>
      <x:c r="D22" s="28" t="str">
        <x:v>被告缺席时，法院应依职权审查管辖，并在送达和防御权条件满足前暂停程序。</x:v>
      </x:c>
      <x:c r="E22" s="31" t="str">
        <x:v>The EU service-of-documents rule identified in this paragraph replaces Article 28(2) when the initiating document had to be transmitted between Member States under that instrument.</x:v>
      </x:c>
      <x:c r="F22" s="31" t="str">
        <x:v>Yes</x:v>
      </x:c>
      <x:c r="G22" s="31" t="str">
        <x:v>N/A</x:v>
      </x:c>
      <x:c r="H22" s="31" t="str">
        <x:v>YiRui Wang</x:v>
      </x:c>
      <x:c r="I22" s="34" t="n">
        <x:v>46269</x:v>
      </x:c>
    </x:row>
    <x:row r="23" ht="74" customHeight="1">
      <x:c r="A23" s="28" t="str">
        <x:v>BRUSSELS_I_BIS:Art.28(4)</x:v>
      </x:c>
      <x:c r="B23" s="28" t="str">
        <x:v>Regulation (EU) No 1215/2012 (Brussels I bis)</x:v>
      </x:c>
      <x:c r="C23" s="28" t="str">
        <x:v>https://eur-lex.europa.eu/eli/reg/2012/1215/2015-02-26/eng</x:v>
      </x:c>
      <x:c r="D23" s="28" t="str">
        <x:v>被告缺席时，法院应依职权审查管辖，并在送达和防御权条件满足前暂停程序。</x:v>
      </x:c>
      <x:c r="E23" s="31" t="str">
        <x:v>Where the specified EU service instrument does not apply, the identified Hague Service Convention rule applies if the initiating document had to be transmitted abroad.</x:v>
      </x:c>
      <x:c r="F23" s="31" t="str">
        <x:v>Yes</x:v>
      </x:c>
      <x:c r="G23" s="31" t="str">
        <x:v>N/A</x:v>
      </x:c>
      <x:c r="H23" s="31" t="str">
        <x:v>YiRui Wang</x:v>
      </x:c>
      <x:c r="I23" s="34" t="n">
        <x:v>46269</x:v>
      </x:c>
    </x:row>
    <x:row r="24" ht="74" customHeight="1">
      <x:c r="A24" s="28" t="str">
        <x:v>BRUSSELS_I_BIS:Art.29</x:v>
      </x:c>
      <x:c r="B24" s="28" t="str">
        <x:v>Regulation (EU) No 1215/2012 (Brussels I bis)</x:v>
      </x:c>
      <x:c r="C24" s="28" t="str">
        <x:v>https://eur-lex.europa.eu/eli/reg/2012/1215/2015-02-26/eng</x:v>
      </x:c>
      <x:c r="D24" s="28" t="str">
        <x:v>不同成员国法院受理同一当事人之间同一诉因的诉讼时，后受理法院必须依职权中止，并在先受理法院确认管辖后让位。</x:v>
      </x:c>
      <x:c r="E24" s="31" t="str">
        <x:v>Where courts of different Member States are seised of proceedings involving the same cause of action and the same parties, a court other than the court first seised must stay proceedings of its own motion and later defer if the first court's jurisdiction is established.</x:v>
      </x:c>
      <x:c r="F24" s="31" t="str">
        <x:v>Yes</x:v>
      </x:c>
      <x:c r="G24" s="31" t="str">
        <x:v>N/A</x:v>
      </x:c>
      <x:c r="H24" s="31" t="str">
        <x:v>YiRui Wang</x:v>
      </x:c>
      <x:c r="I24" s="34" t="n">
        <x:v>46269</x:v>
      </x:c>
    </x:row>
    <x:row r="25" ht="74" customHeight="1">
      <x:c r="A25" s="28" t="str">
        <x:v>BRUSSELS_I_BIS:Art.29(1)</x:v>
      </x:c>
      <x:c r="B25" s="28" t="str">
        <x:v>Regulation (EU) No 1215/2012 (Brussels I bis)</x:v>
      </x:c>
      <x:c r="C25" s="28" t="str">
        <x:v>https://eur-lex.europa.eu/eli/reg/2012/1215/2015-02-26/eng</x:v>
      </x:c>
      <x:c r="D25" s="28" t="str">
        <x:v>同一当事人之间同一诉因的诉讼在不同成员国法院受理时，后受理法院必须依职权中止。</x:v>
      </x:c>
      <x:c r="E25" s="31" t="str">
        <x:v>Where proceedings involving the same cause of action and the same parties are brought in different Member States, a court other than the court first seised must stay its proceedings of its own motion.</x:v>
      </x:c>
      <x:c r="F25" s="31" t="str">
        <x:v>Yes</x:v>
      </x:c>
      <x:c r="G25" s="31" t="str">
        <x:v>N/A</x:v>
      </x:c>
      <x:c r="H25" s="31" t="str">
        <x:v>YiRui Wang</x:v>
      </x:c>
      <x:c r="I25" s="34" t="n">
        <x:v>46269</x:v>
      </x:c>
    </x:row>
    <x:row r="26" ht="74" customHeight="1">
      <x:c r="A26" s="28" t="str">
        <x:v>BRUSSELS_I_BIS:Art.29(2)</x:v>
      </x:c>
      <x:c r="B26" s="28" t="str">
        <x:v>Regulation (EU) No 1215/2012 (Brussels I bis)</x:v>
      </x:c>
      <x:c r="C26" s="28" t="str">
        <x:v>https://eur-lex.europa.eu/eli/reg/2012/1215/2015-02-26/eng</x:v>
      </x:c>
      <x:c r="D26" s="28" t="str">
        <x:v>不同成员国法院受理同一当事人之间同一诉因的诉讼时，后受理法院必须依职权中止，并在先受理法院确认管辖后让位。</x:v>
      </x:c>
      <x:c r="E26" s="31" t="str">
        <x:v>On request, a court seised of the dispute must promptly inform another seised court of the date on which it was seised under Article 32.</x:v>
      </x:c>
      <x:c r="F26" s="31" t="str">
        <x:v>Yes</x:v>
      </x:c>
      <x:c r="G26" s="31" t="str">
        <x:v>N/A</x:v>
      </x:c>
      <x:c r="H26" s="31" t="str">
        <x:v>YiRui Wang</x:v>
      </x:c>
      <x:c r="I26" s="34" t="n">
        <x:v>46269</x:v>
      </x:c>
    </x:row>
    <x:row r="27" ht="74" customHeight="1">
      <x:c r="A27" s="28" t="str">
        <x:v>BRUSSELS_I_BIS:Art.29(3)</x:v>
      </x:c>
      <x:c r="B27" s="28" t="str">
        <x:v>Regulation (EU) No 1215/2012 (Brussels I bis)</x:v>
      </x:c>
      <x:c r="C27" s="28" t="str">
        <x:v>https://eur-lex.europa.eu/eli/reg/2012/1215/2015-02-26/eng</x:v>
      </x:c>
      <x:c r="D27" s="28" t="str">
        <x:v>不同成员国法院受理同一当事人之间同一诉因的诉讼时，后受理法院必须依职权中止，并在先受理法院确认管辖后让位。</x:v>
      </x:c>
      <x:c r="E27" s="31" t="str">
        <x:v>Once the jurisdiction of the court first seised is established, every other court must decline jurisdiction in favour of that court.</x:v>
      </x:c>
      <x:c r="F27" s="31" t="str">
        <x:v>Yes</x:v>
      </x:c>
      <x:c r="G27" s="31" t="str">
        <x:v>N/A</x:v>
      </x:c>
      <x:c r="H27" s="31" t="str">
        <x:v>YiRui Wang</x:v>
      </x:c>
      <x:c r="I27" s="34" t="n">
        <x:v>46269</x:v>
      </x:c>
    </x:row>
    <x:row r="28" ht="74" customHeight="1">
      <x:c r="A28" s="28" t="str">
        <x:v>BRUSSELS_I_BIS:Art.30</x:v>
      </x:c>
      <x:c r="B28" s="28" t="str">
        <x:v>Regulation (EU) No 1215/2012 (Brussels I bis)</x:v>
      </x:c>
      <x:c r="C28" s="28" t="str">
        <x:v>https://eur-lex.europa.eu/eli/reg/2012/1215/2015-02-26/eng</x:v>
      </x:c>
      <x:c r="D28" s="28" t="str">
        <x:v>不同成员国法院受理密切相关诉讼时，后受理法院可以酌情中止；在一审、申请、先受理法院可管辖两案且可合并等条件下，可以放弃管辖。</x:v>
      </x:c>
      <x:c r="E28" s="31" t="str">
        <x:v>Article 30 governs related actions pending in courts of different Member States and distinguishes discretionary stay from conditional decline.</x:v>
      </x:c>
      <x:c r="F28" s="31" t="str">
        <x:v>Yes</x:v>
      </x:c>
      <x:c r="G28" s="31" t="str">
        <x:v>N/A</x:v>
      </x:c>
      <x:c r="H28" s="31" t="str">
        <x:v>YiRui Wang</x:v>
      </x:c>
      <x:c r="I28" s="34" t="n">
        <x:v>46269</x:v>
      </x:c>
    </x:row>
    <x:row r="29" ht="74" customHeight="1">
      <x:c r="A29" s="28" t="str">
        <x:v>BRUSSELS_I_BIS:Art.30(1)</x:v>
      </x:c>
      <x:c r="B29" s="28" t="str">
        <x:v>Regulation (EU) No 1215/2012 (Brussels I bis)</x:v>
      </x:c>
      <x:c r="C29" s="28" t="str">
        <x:v>https://eur-lex.europa.eu/eli/reg/2012/1215/2015-02-26/eng</x:v>
      </x:c>
      <x:c r="D29" s="28" t="str">
        <x:v>不同成员国法院受理密切相关诉讼时，后受理法院可以酌情中止；在一审、申请、先受理法院可管辖两案且可合并等条件下，可以放弃管辖。</x:v>
      </x:c>
      <x:c r="E29" s="31" t="str">
        <x:v>When related actions are pending in courts of different Member States, a court other than the court first seised may stay its proceedings.</x:v>
      </x:c>
      <x:c r="F29" s="31" t="str">
        <x:v>Yes</x:v>
      </x:c>
      <x:c r="G29" s="31" t="str">
        <x:v>N/A</x:v>
      </x:c>
      <x:c r="H29" s="31" t="str">
        <x:v>YiRui Wang</x:v>
      </x:c>
      <x:c r="I29" s="34" t="n">
        <x:v>46269</x:v>
      </x:c>
    </x:row>
    <x:row r="30" ht="74" customHeight="1">
      <x:c r="A30" s="28" t="str">
        <x:v>BRUSSELS_I_BIS:Art.30(2)</x:v>
      </x:c>
      <x:c r="B30" s="28" t="str">
        <x:v>Regulation (EU) No 1215/2012 (Brussels I bis)</x:v>
      </x:c>
      <x:c r="C30" s="28" t="str">
        <x:v>https://eur-lex.europa.eu/eli/reg/2012/1215/2015-02-26/eng</x:v>
      </x:c>
      <x:c r="D30" s="28" t="str">
        <x:v>不同成员国法院受理密切相关诉讼时，后受理法院可以酌情中止；在一审、申请、先受理法院可管辖两案且可合并等条件下，可以放弃管辖。</x:v>
      </x:c>
      <x:c r="E30" s="31" t="str">
        <x:v>While the first-seised action is pending at first instance, another court may, on a party's application, decline jurisdiction if the first court has jurisdiction over the actions and its law permits consolidation.</x:v>
      </x:c>
      <x:c r="F30" s="31" t="str">
        <x:v>Yes</x:v>
      </x:c>
      <x:c r="G30" s="31" t="str">
        <x:v>N/A</x:v>
      </x:c>
      <x:c r="H30" s="31" t="str">
        <x:v>YiRui Wang</x:v>
      </x:c>
      <x:c r="I30" s="34" t="n">
        <x:v>46269</x:v>
      </x:c>
    </x:row>
    <x:row r="31" ht="74" customHeight="1">
      <x:c r="A31" s="28" t="str">
        <x:v>BRUSSELS_I_BIS:Art.30(3)</x:v>
      </x:c>
      <x:c r="B31" s="28" t="str">
        <x:v>Regulation (EU) No 1215/2012 (Brussels I bis)</x:v>
      </x:c>
      <x:c r="C31" s="28" t="str">
        <x:v>https://eur-lex.europa.eu/eli/reg/2012/1215/2015-02-26/eng</x:v>
      </x:c>
      <x:c r="D31" s="28" t="str">
        <x:v>不同成员国法院受理密切相关诉讼时，后受理法院可以酌情中止；在一审、申请、先受理法院可管辖两案且可合并等条件下，可以放弃管辖。</x:v>
      </x:c>
      <x:c r="E31" s="31" t="str">
        <x:v>Actions are related when they are so closely connected that hearing them together is expedient to avoid irreconcilable judgments from separate proceedings.</x:v>
      </x:c>
      <x:c r="F31" s="31" t="str">
        <x:v>Yes</x:v>
      </x:c>
      <x:c r="G31" s="31" t="str">
        <x:v>N/A</x:v>
      </x:c>
      <x:c r="H31" s="31" t="str">
        <x:v>YiRui Wang</x:v>
      </x:c>
      <x:c r="I31" s="34" t="n">
        <x:v>46269</x:v>
      </x:c>
    </x:row>
    <x:row r="32" ht="74" customHeight="1">
      <x:c r="A32" s="28" t="str">
        <x:v>BRUSSELS_I_BIS:Art.31</x:v>
      </x:c>
      <x:c r="B32" s="28" t="str">
        <x:v>Regulation (EU) No 1215/2012 (Brussels I bis)</x:v>
      </x:c>
      <x:c r="C32" s="28" t="str">
        <x:v>https://eur-lex.europa.eu/eli/reg/2012/1215/2015-02-26/eng</x:v>
      </x:c>
      <x:c r="D32" s="28" t="str">
        <x:v>本条分别处理多个专属法院主张和有效选择法院协议下指定法院的优先程序，不等同于 Article 29 或 Article 30。</x:v>
      </x:c>
      <x:c r="E32" s="31" t="str">
        <x:v>Article 31 addresses competing exclusive-jurisdiction claims and priority for a court designated by an exclusive choice-of-court agreement; it is distinct from Articles 29 and 30.</x:v>
      </x:c>
      <x:c r="F32" s="31" t="str">
        <x:v>Yes</x:v>
      </x:c>
      <x:c r="G32" s="31" t="str">
        <x:v>N/A</x:v>
      </x:c>
      <x:c r="H32" s="31" t="str">
        <x:v>YiRui Wang</x:v>
      </x:c>
      <x:c r="I32" s="34" t="n">
        <x:v>46269</x:v>
      </x:c>
    </x:row>
    <x:row r="33" ht="74" customHeight="1">
      <x:c r="A33" s="28" t="str">
        <x:v>BRUSSELS_I_BIS:Art.31(2)</x:v>
      </x:c>
      <x:c r="B33" s="28" t="str">
        <x:v>Regulation (EU) No 1215/2012 (Brussels I bis)</x:v>
      </x:c>
      <x:c r="C33" s="28" t="str">
        <x:v>https://eur-lex.europa.eu/eli/reg/2012/1215/2015-02-26/eng</x:v>
      </x:c>
      <x:c r="D33" s="28" t="str">
        <x:v>本条分别处理多个专属法院主张和有效选择法院协议下指定法院的优先程序，不等同于 Article 29 或 Article 30。</x:v>
      </x:c>
      <x:c r="E33" s="31" t="str">
        <x:v>When a court designated by an exclusive Article 25 agreement is seised, any court of another Member State must stay until the designated court declares that it has no jurisdiction under the agreement.</x:v>
      </x:c>
      <x:c r="F33" s="31" t="str">
        <x:v>Needs revision</x:v>
      </x:c>
      <x:c r="G33" s="31" t="str">
        <x:v>Without prejudice to Article 26, where a court designated by an exclusive Article 25 agreement is seised, any court of another Member State must stay proceedings until the designated court declares that it has no jurisdiction under the agreement.</x:v>
      </x:c>
      <x:c r="H33" s="31" t="str">
        <x:v>YiRui Wang</x:v>
      </x:c>
      <x:c r="I33" s="34" t="n">
        <x:v>46269</x:v>
      </x:c>
    </x:row>
    <x:row r="34" ht="74" customHeight="1">
      <x:c r="A34" s="28" t="str">
        <x:v>BRUSSELS_I_BIS:Art.31(3)</x:v>
      </x:c>
      <x:c r="B34" s="28" t="str">
        <x:v>Regulation (EU) No 1215/2012 (Brussels I bis)</x:v>
      </x:c>
      <x:c r="C34" s="28" t="str">
        <x:v>https://eur-lex.europa.eu/eli/reg/2012/1215/2015-02-26/eng</x:v>
      </x:c>
      <x:c r="D34" s="28" t="str">
        <x:v>本条分别处理多个专属法院主张和有效选择法院协议下指定法院的优先程序，不等同于 Article 29 或 Article 30。</x:v>
      </x:c>
      <x:c r="E34" s="31" t="str">
        <x:v>Once the court designated in the agreement establishes jurisdiction, every court of another Member State must decline jurisdiction in its favour.</x:v>
      </x:c>
      <x:c r="F34" s="31" t="str">
        <x:v>Yes</x:v>
      </x:c>
      <x:c r="G34" s="31" t="str">
        <x:v>N/A</x:v>
      </x:c>
      <x:c r="H34" s="31" t="str">
        <x:v>YiRui Wang</x:v>
      </x:c>
      <x:c r="I34" s="34" t="n">
        <x:v>46269</x:v>
      </x:c>
    </x:row>
    <x:row r="35" ht="74" customHeight="1">
      <x:c r="A35" s="28" t="str">
        <x:v>BRUSSELS_I_BIS:Art.32(1)</x:v>
      </x:c>
      <x:c r="B35" s="28" t="str">
        <x:v>Regulation (EU) No 1215/2012 (Brussels I bis)</x:v>
      </x:c>
      <x:c r="C35" s="28" t="str">
        <x:v>https://eur-lex.europa.eu/eli/reg/2012/1215/2015-02-26/eng</x:v>
      </x:c>
      <x:c r="D35" s="28" t="str">
        <x:v>法院受理时间依文书向法院提交或向负责送达机关提交的时间确定，并要求原告完成必要后续步骤。</x:v>
      </x:c>
      <x:c r="E35" s="31" t="str">
        <x:v>The time when a court is deemed seised depends on lodging the initiating document with the court or the authority responsible for service, provided the claimant takes the required subsequent steps.</x:v>
      </x:c>
      <x:c r="F35" s="31" t="str">
        <x:v>Yes</x:v>
      </x:c>
      <x:c r="G35" s="31" t="str">
        <x:v>N/A</x:v>
      </x:c>
      <x:c r="H35" s="31" t="str">
        <x:v>YiRui Wang</x:v>
      </x:c>
      <x:c r="I35" s="34" t="n">
        <x:v>46269</x:v>
      </x:c>
    </x:row>
    <x:row r="36" ht="74" customHeight="1">
      <x:c r="A36" s="28" t="str">
        <x:v>BRUSSELS_I_BIS:Art.34</x:v>
      </x:c>
      <x:c r="B36" s="28" t="str">
        <x:v>Regulation (EU) No 1215/2012 (Brussels I bis)</x:v>
      </x:c>
      <x:c r="C36" s="28" t="str">
        <x:v>https://eur-lex.europa.eu/eli/reg/2012/1215/2015-02-26/eng</x:v>
      </x:c>
      <x:c r="D36" s="28" t="str">
        <x:v>成员国法院面对第三国的相关诉讼时，可在避免不可调和判决等条件下酌情中止。</x:v>
      </x:c>
      <x:c r="E36" s="31" t="str">
        <x:v>A Member State court may stay proceedings in favour of related proceedings pending in a third State where the specified conditions, including avoidance of irreconcilable judgments, are satisfied.</x:v>
      </x:c>
      <x:c r="F36" s="31" t="str">
        <x:v>Yes</x:v>
      </x:c>
      <x:c r="G36" s="31" t="str">
        <x:v>N/A</x:v>
      </x:c>
      <x:c r="H36" s="31" t="str">
        <x:v>YiRui Wang</x:v>
      </x:c>
      <x:c r="I36" s="34" t="n">
        <x:v>46269</x:v>
      </x:c>
    </x:row>
    <x:row r="37" ht="74" customHeight="1">
      <x:c r="A37" s="28" t="str">
        <x:v>BRUSSELS_I_BIS:Art.4(1)</x:v>
      </x:c>
      <x:c r="B37" s="28" t="str">
        <x:v>Regulation (EU) No 1215/2012 (Brussels I bis)</x:v>
      </x:c>
      <x:c r="C37" s="28" t="str">
        <x:v>https://eur-lex.europa.eu/eli/reg/2012/1215/2015-02-26/eng</x:v>
      </x:c>
      <x:c r="D37" s="28" t="str">
        <x:v>被告住所在成员国时，应向该成员国法院起诉，不以国籍为连接点。</x:v>
      </x:c>
      <x:c r="E37" s="31" t="str">
        <x:v>A person domiciled in a Member State is generally sued in the courts of that Member State, irrespective of nationality.</x:v>
      </x:c>
      <x:c r="F37" s="31" t="str">
        <x:v>Yes</x:v>
      </x:c>
      <x:c r="G37" s="31" t="str">
        <x:v>N/A</x:v>
      </x:c>
      <x:c r="H37" s="31" t="str">
        <x:v>YiRui Wang</x:v>
      </x:c>
      <x:c r="I37" s="34" t="n">
        <x:v>46269</x:v>
      </x:c>
    </x:row>
    <x:row r="38" ht="74" customHeight="1">
      <x:c r="A38" s="28" t="str">
        <x:v>BRUSSELS_I_BIS:Art.41(1)</x:v>
      </x:c>
      <x:c r="B38" s="28" t="str">
        <x:v>Regulation (EU) No 1215/2012 (Brussels I bis)</x:v>
      </x:c>
      <x:c r="C38" s="28" t="str">
        <x:v>https://eur-lex.europa.eu/eli/reg/2012/1215/2015-02-26/eng</x:v>
      </x:c>
      <x:c r="D38" s="28" t="str">
        <x:v>判决执行程序原则上适用被请求执行成员国法律，并受本条例限制。</x:v>
      </x:c>
      <x:c r="E38" s="31" t="str">
        <x:v>Subject to the Regulation, enforcement procedure is governed by the law of the Member State addressed, and an enforceable judgment is enforced there under the same conditions as a domestic judgment.</x:v>
      </x:c>
      <x:c r="F38" s="31" t="str">
        <x:v>Yes</x:v>
      </x:c>
      <x:c r="G38" s="31" t="str">
        <x:v>N/A</x:v>
      </x:c>
      <x:c r="H38" s="31" t="str">
        <x:v>YiRui Wang</x:v>
      </x:c>
      <x:c r="I38" s="34" t="n">
        <x:v>46269</x:v>
      </x:c>
    </x:row>
    <x:row r="39" ht="74" customHeight="1">
      <x:c r="A39" s="28" t="str">
        <x:v>BRUSSELS_I_BIS:Art.41(2)</x:v>
      </x:c>
      <x:c r="B39" s="28" t="str">
        <x:v>Regulation (EU) No 1215/2012 (Brussels I bis)</x:v>
      </x:c>
      <x:c r="C39" s="28" t="str">
        <x:v>https://eur-lex.europa.eu/eli/reg/2012/1215/2015-02-26/eng</x:v>
      </x:c>
      <x:c r="D39" s="28" t="str">
        <x:v>判决执行程序原则上适用被请求执行成员国法律，并受本条例限制。</x:v>
      </x:c>
      <x:c r="E39" s="31" t="str">
        <x:v>Grounds for refusing or suspending enforcement under the law of the Member State addressed apply only so far as they are compatible with the grounds specified in the Regulation.</x:v>
      </x:c>
      <x:c r="F39" s="31" t="str">
        <x:v>Yes</x:v>
      </x:c>
      <x:c r="G39" s="31" t="str">
        <x:v>N/A</x:v>
      </x:c>
      <x:c r="H39" s="31" t="str">
        <x:v>YiRui Wang</x:v>
      </x:c>
      <x:c r="I39" s="34" t="n">
        <x:v>46269</x:v>
      </x:c>
    </x:row>
    <x:row r="40" ht="74" customHeight="1">
      <x:c r="A40" s="28" t="str">
        <x:v>BRUSSELS_I_BIS:Art.5(1)</x:v>
      </x:c>
      <x:c r="B40" s="28" t="str">
        <x:v>Regulation (EU) No 1215/2012 (Brussels I bis)</x:v>
      </x:c>
      <x:c r="C40" s="28" t="str">
        <x:v>https://eur-lex.europa.eu/eli/reg/2012/1215/2015-02-26/eng</x:v>
      </x:c>
      <x:c r="D40" s="28" t="str">
        <x:v>对住所在成员国的被告，只能依本条例列明的特别规则偏离住所地管辖。</x:v>
      </x:c>
      <x:c r="E40" s="31" t="str">
        <x:v>A defendant domiciled in a Member State may be sued in another Member State only under the special rules listed in the Regulation.</x:v>
      </x:c>
      <x:c r="F40" s="31" t="str">
        <x:v>Yes</x:v>
      </x:c>
      <x:c r="G40" s="31" t="str">
        <x:v>N/A</x:v>
      </x:c>
      <x:c r="H40" s="31" t="str">
        <x:v>YiRui Wang</x:v>
      </x:c>
      <x:c r="I40" s="34" t="n">
        <x:v>46269</x:v>
      </x:c>
    </x:row>
    <x:row r="41" ht="74" customHeight="1">
      <x:c r="A41" s="28" t="str">
        <x:v>BRUSSELS_I_BIS:Art.6</x:v>
      </x:c>
      <x:c r="B41" s="28" t="str">
        <x:v>Regulation (EU) No 1215/2012 (Brussels I bis)</x:v>
      </x:c>
      <x:c r="C41" s="28" t="str">
        <x:v>https://eur-lex.europa.eu/eli/reg/2012/1215/2015-02-26/eng</x:v>
      </x:c>
      <x:c r="D41" s="28" t="str">
        <x:v>被告不在任何成员国有住所时，原则上由受诉成员国国内法决定管辖，但本条例列明的例外仍适用。</x:v>
      </x:c>
      <x:c r="E41" s="31" t="str">
        <x:v>Article 6 addresses jurisdiction over defendants not domiciled in a Member State, principally by reference to Member State law subject to specified Regulation exceptions.</x:v>
      </x:c>
      <x:c r="F41" s="31" t="str">
        <x:v>Yes</x:v>
      </x:c>
      <x:c r="G41" s="31" t="str">
        <x:v>N/A</x:v>
      </x:c>
      <x:c r="H41" s="31" t="str">
        <x:v>YiRui Wang</x:v>
      </x:c>
      <x:c r="I41" s="34" t="n">
        <x:v>46269</x:v>
      </x:c>
    </x:row>
    <x:row r="42" ht="74" customHeight="1">
      <x:c r="A42" s="28" t="str">
        <x:v>BRUSSELS_I_BIS:Art.6(1)</x:v>
      </x:c>
      <x:c r="B42" s="28" t="str">
        <x:v>Regulation (EU) No 1215/2012 (Brussels I bis)</x:v>
      </x:c>
      <x:c r="C42" s="28" t="str">
        <x:v>https://eur-lex.europa.eu/eli/reg/2012/1215/2015-02-26/eng</x:v>
      </x:c>
      <x:c r="D42" s="28" t="str">
        <x:v>被告不在任何成员国有住所时，原则上由受诉成员国国内法决定管辖。</x:v>
      </x:c>
      <x:c r="E42" s="31" t="str">
        <x:v>Where a defendant is not domiciled in a Member State, jurisdiction is generally determined by the law of the Member State court seised, subject to specified exceptions.</x:v>
      </x:c>
      <x:c r="F42" s="31" t="str">
        <x:v>Yes</x:v>
      </x:c>
      <x:c r="G42" s="31" t="str">
        <x:v>N/A</x:v>
      </x:c>
      <x:c r="H42" s="31" t="str">
        <x:v>YiRui Wang</x:v>
      </x:c>
      <x:c r="I42" s="34" t="n">
        <x:v>46269</x:v>
      </x:c>
    </x:row>
    <x:row r="43" ht="74" customHeight="1">
      <x:c r="A43" s="28" t="str">
        <x:v>BRUSSELS_I_BIS:Art.6(2)</x:v>
      </x:c>
      <x:c r="B43" s="28" t="str">
        <x:v>Regulation (EU) No 1215/2012 (Brussels I bis)</x:v>
      </x:c>
      <x:c r="C43" s="28" t="str">
        <x:v>https://eur-lex.europa.eu/eli/reg/2012/1215/2015-02-26/eng</x:v>
      </x:c>
      <x:c r="D43" s="28" t="str">
        <x:v>被告不在任何成员国有住所时，原则上由受诉成员国国内法决定管辖，但本条例列明的例外仍适用。</x:v>
      </x:c>
      <x:c r="E43" s="31" t="str">
        <x:v>Against a defendant not domiciled in a Member State, a person domiciled in a Member State may invoke that State's jurisdiction rules on the same basis as its nationals.</x:v>
      </x:c>
      <x:c r="F43" s="31" t="str">
        <x:v>Yes</x:v>
      </x:c>
      <x:c r="G43" s="31" t="str">
        <x:v>N/A</x:v>
      </x:c>
      <x:c r="H43" s="31" t="str">
        <x:v>YiRui Wang</x:v>
      </x:c>
      <x:c r="I43" s="34" t="n">
        <x:v>46269</x:v>
      </x:c>
    </x:row>
    <x:row r="44" ht="74" customHeight="1">
      <x:c r="A44" s="28" t="str">
        <x:v>BRUSSELS_I_BIS:Art.62</x:v>
      </x:c>
      <x:c r="B44" s="28" t="str">
        <x:v>Regulation (EU) No 1215/2012 (Brussels I bis)</x:v>
      </x:c>
      <x:c r="C44" s="28" t="str">
        <x:v>https://eur-lex.europa.eu/eli/reg/2012/1215/2015-02-26/eng</x:v>
      </x:c>
      <x:c r="D44" s="28" t="str">
        <x:v>自然人是否在某成员国有住所，由法院依本条指定的国内法冲突方法判断。</x:v>
      </x:c>
      <x:c r="E44" s="31" t="str">
        <x:v>Article 62 determines which domestic law a court applies when deciding whether a natural person is domiciled in a Member State.</x:v>
      </x:c>
      <x:c r="F44" s="31" t="str">
        <x:v>Yes</x:v>
      </x:c>
      <x:c r="G44" s="31" t="str">
        <x:v>N/A</x:v>
      </x:c>
      <x:c r="H44" s="31" t="str">
        <x:v>YiRui Wang</x:v>
      </x:c>
      <x:c r="I44" s="34" t="n">
        <x:v>46269</x:v>
      </x:c>
    </x:row>
    <x:row r="45" ht="74" customHeight="1">
      <x:c r="A45" s="28" t="str">
        <x:v>BRUSSELS_I_BIS:Art.62(1)</x:v>
      </x:c>
      <x:c r="B45" s="28" t="str">
        <x:v>Regulation (EU) No 1215/2012 (Brussels I bis)</x:v>
      </x:c>
      <x:c r="C45" s="28" t="str">
        <x:v>https://eur-lex.europa.eu/eli/reg/2012/1215/2015-02-26/eng</x:v>
      </x:c>
      <x:c r="D45" s="28" t="str">
        <x:v>自然人是否在某成员国有住所，由法院依本条指定的国内法冲突方法判断。</x:v>
      </x:c>
      <x:c r="E45" s="31" t="str">
        <x:v>To determine whether a party is domiciled in the Member State whose courts are seised, the court applies its own internal law.</x:v>
      </x:c>
      <x:c r="F45" s="31" t="str">
        <x:v>Yes</x:v>
      </x:c>
      <x:c r="G45" s="31" t="str">
        <x:v>N/A</x:v>
      </x:c>
      <x:c r="H45" s="31" t="str">
        <x:v>YiRui Wang</x:v>
      </x:c>
      <x:c r="I45" s="34" t="n">
        <x:v>46269</x:v>
      </x:c>
    </x:row>
    <x:row r="46" ht="74" customHeight="1">
      <x:c r="A46" s="28" t="str">
        <x:v>BRUSSELS_I_BIS:Art.62(2)</x:v>
      </x:c>
      <x:c r="B46" s="28" t="str">
        <x:v>Regulation (EU) No 1215/2012 (Brussels I bis)</x:v>
      </x:c>
      <x:c r="C46" s="28" t="str">
        <x:v>https://eur-lex.europa.eu/eli/reg/2012/1215/2015-02-26/eng</x:v>
      </x:c>
      <x:c r="D46" s="28" t="str">
        <x:v>自然人是否在某成员国有住所，由法院依本条指定的国内法冲突方法判断。</x:v>
      </x:c>
      <x:c r="E46" s="31" t="str">
        <x:v>If a party is not domiciled in the seised court's Member State, the court applies the law of another Member State to determine whether the party is domiciled there.</x:v>
      </x:c>
      <x:c r="F46" s="31" t="str">
        <x:v>Yes</x:v>
      </x:c>
      <x:c r="G46" s="31" t="str">
        <x:v>N/A</x:v>
      </x:c>
      <x:c r="H46" s="31" t="str">
        <x:v>YiRui Wang</x:v>
      </x:c>
      <x:c r="I46" s="34" t="n">
        <x:v>46269</x:v>
      </x:c>
    </x:row>
    <x:row r="47" ht="74" customHeight="1">
      <x:c r="A47" s="28" t="str">
        <x:v>BRUSSELS_I_BIS:Art.63(1)(a)</x:v>
      </x:c>
      <x:c r="B47" s="28" t="str">
        <x:v>Regulation (EU) No 1215/2012 (Brussels I bis)</x:v>
      </x:c>
      <x:c r="C47" s="28" t="str">
        <x:v>https://eur-lex.europa.eu/eli/reg/2012/1215/2015-02-26/eng</x:v>
      </x:c>
      <x:c r="D47" s="28" t="str">
        <x:v>公司或法人可按法定住所、中央管理机构或主要营业地确定本条例意义上的住所；信托住所另依法院冲突法规则判断。</x:v>
      </x:c>
      <x:c r="E47" s="31" t="str">
        <x:v>For purposes of the Regulation, a company or other legal person is domiciled at its statutory seat.</x:v>
      </x:c>
      <x:c r="F47" s="31" t="str">
        <x:v>Yes</x:v>
      </x:c>
      <x:c r="G47" s="31" t="str">
        <x:v>N/A</x:v>
      </x:c>
      <x:c r="H47" s="31" t="str">
        <x:v>YiRui Wang</x:v>
      </x:c>
      <x:c r="I47" s="34" t="n">
        <x:v>46269</x:v>
      </x:c>
    </x:row>
    <x:row r="48" ht="74" customHeight="1">
      <x:c r="A48" s="28" t="str">
        <x:v>BRUSSELS_I_BIS:Art.63(1)(b)</x:v>
      </x:c>
      <x:c r="B48" s="28" t="str">
        <x:v>Regulation (EU) No 1215/2012 (Brussels I bis)</x:v>
      </x:c>
      <x:c r="C48" s="28" t="str">
        <x:v>https://eur-lex.europa.eu/eli/reg/2012/1215/2015-02-26/eng</x:v>
      </x:c>
      <x:c r="D48" s="28" t="str">
        <x:v>公司或法人可按法定住所、中央管理机构或主要营业地确定本条例意义上的住所；信托住所另依法院冲突法规则判断。</x:v>
      </x:c>
      <x:c r="E48" s="31" t="str">
        <x:v>For purposes of the Regulation, a company or other legal person is domiciled at its central administration.</x:v>
      </x:c>
      <x:c r="F48" s="31" t="str">
        <x:v>Yes</x:v>
      </x:c>
      <x:c r="G48" s="31" t="str">
        <x:v>N/A</x:v>
      </x:c>
      <x:c r="H48" s="31" t="str">
        <x:v>YiRui Wang</x:v>
      </x:c>
      <x:c r="I48" s="34" t="n">
        <x:v>46269</x:v>
      </x:c>
    </x:row>
    <x:row r="49" ht="74" customHeight="1">
      <x:c r="A49" s="28" t="str">
        <x:v>BRUSSELS_I_BIS:Art.63(1)(c)</x:v>
      </x:c>
      <x:c r="B49" s="28" t="str">
        <x:v>Regulation (EU) No 1215/2012 (Brussels I bis)</x:v>
      </x:c>
      <x:c r="C49" s="28" t="str">
        <x:v>https://eur-lex.europa.eu/eli/reg/2012/1215/2015-02-26/eng</x:v>
      </x:c>
      <x:c r="D49" s="28" t="str">
        <x:v>公司或法人可按法定住所、中央管理机构或主要营业地确定本条例意义上的住所；信托住所另依法院冲突法规则判断。</x:v>
      </x:c>
      <x:c r="E49" s="31" t="str">
        <x:v>For purposes of the Regulation, a company or other legal person is domiciled at its principal place of business.</x:v>
      </x:c>
      <x:c r="F49" s="31" t="str">
        <x:v>Yes</x:v>
      </x:c>
      <x:c r="G49" s="31" t="str">
        <x:v>N/A</x:v>
      </x:c>
      <x:c r="H49" s="31" t="str">
        <x:v>YiRui Wang</x:v>
      </x:c>
      <x:c r="I49" s="34" t="n">
        <x:v>46269</x:v>
      </x:c>
    </x:row>
    <x:row r="50" ht="74" customHeight="1">
      <x:c r="A50" s="28" t="str">
        <x:v>BRUSSELS_I_BIS:Art.63(3)</x:v>
      </x:c>
      <x:c r="B50" s="28" t="str">
        <x:v>Regulation (EU) No 1215/2012 (Brussels I bis)</x:v>
      </x:c>
      <x:c r="C50" s="28" t="str">
        <x:v>https://eur-lex.europa.eu/eli/reg/2012/1215/2015-02-26/eng</x:v>
      </x:c>
      <x:c r="D50" s="28" t="str">
        <x:v>公司或法人可按法定住所、中央管理机构或主要营业地确定本条例意义上的住所；信托住所另依法院冲突法规则判断。</x:v>
      </x:c>
      <x:c r="E50" s="31" t="str">
        <x:v>To determine whether a trust is domiciled in the seised court's Member State, the court applies its private-international-law rules.</x:v>
      </x:c>
      <x:c r="F50" s="31" t="str">
        <x:v>Yes</x:v>
      </x:c>
      <x:c r="G50" s="31" t="str">
        <x:v>N/A</x:v>
      </x:c>
      <x:c r="H50" s="31" t="str">
        <x:v>YiRui Wang</x:v>
      </x:c>
      <x:c r="I50" s="34" t="n">
        <x:v>46269</x:v>
      </x:c>
    </x:row>
    <x:row r="51" ht="74" customHeight="1">
      <x:c r="A51" s="28" t="str">
        <x:v>BRUSSELS_I_BIS:Art.7(1)(a)</x:v>
      </x:c>
      <x:c r="B51" s="28" t="str">
        <x:v>Regulation (EU) No 1215/2012 (Brussels I bis)</x:v>
      </x:c>
      <x:c r="C51" s="28" t="str">
        <x:v>https://eur-lex.europa.eu/eli/reg/2012/1215/2015-02-26/eng</x:v>
      </x:c>
      <x:c r="D51" s="28" t="str">
        <x:v>合同、侵权、分支机构和信托等事项可按本条规定的连接点适用特别管辖。</x:v>
      </x:c>
      <x:c r="E51" s="31" t="str">
        <x:v>In matters relating to a contract, a defendant domiciled in a Member State may be sued in another Member State at the place of performance of the obligation in question.</x:v>
      </x:c>
      <x:c r="F51" s="31" t="str">
        <x:v>Yes</x:v>
      </x:c>
      <x:c r="G51" s="31" t="str">
        <x:v>N/A</x:v>
      </x:c>
      <x:c r="H51" s="31" t="str">
        <x:v>YiRui Wang</x:v>
      </x:c>
      <x:c r="I51" s="34" t="n">
        <x:v>46269</x:v>
      </x:c>
    </x:row>
    <x:row r="52" ht="74" customHeight="1">
      <x:c r="A52" s="28" t="str">
        <x:v>BRUSSELS_I_BIS:Art.7(1)(b)</x:v>
      </x:c>
      <x:c r="B52" s="28" t="str">
        <x:v>Regulation (EU) No 1215/2012 (Brussels I bis)</x:v>
      </x:c>
      <x:c r="C52" s="28" t="str">
        <x:v>https://eur-lex.europa.eu/eli/reg/2012/1215/2015-02-26/eng</x:v>
      </x:c>
      <x:c r="D52" s="28" t="str">
        <x:v>买卖动产以交付地、服务合同以服务提供地作为 Article 7(1)(b) 的特别连接点。</x:v>
      </x:c>
      <x:c r="E52" s="31" t="str">
        <x:v>For a sale of goods, Article 7(1)(b) uses the place where the goods were or should have been delivered; for services, it uses the place where the services were or should have been provided.</x:v>
      </x:c>
      <x:c r="F52" s="31" t="str">
        <x:v>Yes</x:v>
      </x:c>
      <x:c r="G52" s="31" t="str">
        <x:v>N/A</x:v>
      </x:c>
      <x:c r="H52" s="31" t="str">
        <x:v>YiRui Wang</x:v>
      </x:c>
      <x:c r="I52" s="34" t="n">
        <x:v>46269</x:v>
      </x:c>
    </x:row>
    <x:row r="53" ht="74" customHeight="1">
      <x:c r="A53" s="28" t="str">
        <x:v>BRUSSELS_I_BIS:Art.7(2)</x:v>
      </x:c>
      <x:c r="B53" s="28" t="str">
        <x:v>Regulation (EU) No 1215/2012 (Brussels I bis)</x:v>
      </x:c>
      <x:c r="C53" s="28" t="str">
        <x:v>https://eur-lex.europa.eu/eli/reg/2012/1215/2015-02-26/eng</x:v>
      </x:c>
      <x:c r="D53" s="28" t="str">
        <x:v>侵权或准侵权事项可在损害事件发生地或可能发生地法院起诉。</x:v>
      </x:c>
      <x:c r="E53" s="31" t="str">
        <x:v>In matters relating to tort or delict, proceedings may be brought in the courts for the place where the harmful event occurred or may occur.</x:v>
      </x:c>
      <x:c r="F53" s="31" t="str">
        <x:v>Yes</x:v>
      </x:c>
      <x:c r="G53" s="31" t="str">
        <x:v>N/A</x:v>
      </x:c>
      <x:c r="H53" s="31" t="str">
        <x:v>YiRui Wang</x:v>
      </x:c>
      <x:c r="I53" s="34" t="n">
        <x:v>46269</x:v>
      </x:c>
    </x:row>
    <x:row r="54" ht="74" customHeight="1">
      <x:c r="A54" s="28" t="str">
        <x:v>BRUSSELS_I_BIS:Art.7(5)</x:v>
      </x:c>
      <x:c r="B54" s="28" t="str">
        <x:v>Regulation (EU) No 1215/2012 (Brussels I bis)</x:v>
      </x:c>
      <x:c r="C54" s="28" t="str">
        <x:v>https://eur-lex.europa.eu/eli/reg/2012/1215/2015-02-26/eng</x:v>
      </x:c>
      <x:c r="D54" s="28" t="str">
        <x:v>因分支机构、代理处或其他营业所经营引发的争议，可在该机构所在地起诉。</x:v>
      </x:c>
      <x:c r="E54" s="31" t="str">
        <x:v>A dispute arising out of the operations of a branch, agency, or other establishment may be brought in the courts for the place where it is situated.</x:v>
      </x:c>
      <x:c r="F54" s="31" t="str">
        <x:v>Yes</x:v>
      </x:c>
      <x:c r="G54" s="31" t="str">
        <x:v>N/A</x:v>
      </x:c>
      <x:c r="H54" s="31" t="str">
        <x:v>YiRui Wang</x:v>
      </x:c>
      <x:c r="I54" s="34" t="n">
        <x:v>46269</x:v>
      </x:c>
    </x:row>
    <x:row r="55" ht="74" customHeight="1">
      <x:c r="A55" s="28" t="str">
        <x:v>BRUSSELS_I_BIS:Art.7(6)</x:v>
      </x:c>
      <x:c r="B55" s="28" t="str">
        <x:v>Regulation (EU) No 1215/2012 (Brussels I bis)</x:v>
      </x:c>
      <x:c r="C55" s="28" t="str">
        <x:v>https://eur-lex.europa.eu/eli/reg/2012/1215/2015-02-26/eng</x:v>
      </x:c>
      <x:c r="D55" s="28" t="str">
        <x:v>合同、侵权、分支机构和信托等事项可按本条规定的连接点适用特别管辖。</x:v>
      </x:c>
      <x:c r="E55" s="31" t="str">
        <x:v>A qualifying dispute against a settlor, trustee, or beneficiary may be brought in the courts of the Member State in which the trust is domiciled.</x:v>
      </x:c>
      <x:c r="F55" s="31" t="str">
        <x:v>Yes</x:v>
      </x:c>
      <x:c r="G55" s="31" t="str">
        <x:v>N/A</x:v>
      </x:c>
      <x:c r="H55" s="31" t="str">
        <x:v>YiRui Wang</x:v>
      </x:c>
      <x:c r="I55" s="34" t="n">
        <x:v>46269</x:v>
      </x:c>
    </x:row>
    <x:row r="56" ht="74" customHeight="1">
      <x:c r="A56" s="28" t="str">
        <x:v>EU_TRADE_MARK_REGULATION:Art.124(d)</x:v>
      </x:c>
      <x:c r="B56" s="28" t="str">
        <x:v>Regulation (EU) 2017/1001 on the European Union trade mark</x:v>
      </x:c>
      <x:c r="C56" s="28" t="str">
        <x:v>https://eur-lex.europa.eu/eli/reg/2017/1001/2025-12-01/eng</x:v>
      </x:c>
      <x:c r="D56" s="28" t="str">
        <x:v>欧盟商标法院对侵权等诉讼以及依 Article 128 提出的撤销或无效反诉具有专属权限。</x:v>
      </x:c>
      <x:c r="E56" s="31" t="str">
        <x:v>EU trade mark courts have exclusive jurisdiction over counterclaims for revocation or for a declaration of invalidity of an EU trade mark under Article 128.</x:v>
      </x:c>
      <x:c r="F56" s="31" t="str">
        <x:v>Yes</x:v>
      </x:c>
      <x:c r="G56" s="31" t="str">
        <x:v>N/A</x:v>
      </x:c>
      <x:c r="H56" s="31" t="str">
        <x:v>YiRui Wang</x:v>
      </x:c>
      <x:c r="I56" s="34" t="n">
        <x:v>46269</x:v>
      </x:c>
    </x:row>
    <x:row r="57" ht="74" customHeight="1">
      <x:c r="A57" s="28" t="str">
        <x:v>EU_TRADE_MARK_REGULATION:Art.128(1)</x:v>
      </x:c>
      <x:c r="B57" s="28" t="str">
        <x:v>Regulation (EU) 2017/1001 on the European Union trade mark</x:v>
      </x:c>
      <x:c r="C57" s="28" t="str">
        <x:v>https://eur-lex.europa.eu/eli/reg/2017/1001/2025-12-01/eng</x:v>
      </x:c>
      <x:c r="D57" s="28" t="str">
        <x:v>欧盟商标法院中的撤销或无效问题按本条以反诉形式处理，并与 EUIPO 登记程序协调。</x:v>
      </x:c>
      <x:c r="E57" s="31" t="str">
        <x:v>A counterclaim for revocation or for a declaration of invalidity may rely only on grounds for revocation or invalidity stated in the Regulation.</x:v>
      </x:c>
      <x:c r="F57" s="31" t="str">
        <x:v>Yes</x:v>
      </x:c>
      <x:c r="G57" s="31" t="str">
        <x:v>N/A</x:v>
      </x:c>
      <x:c r="H57" s="31" t="str">
        <x:v>YiRui Wang</x:v>
      </x:c>
      <x:c r="I57" s="34" t="n">
        <x:v>46269</x:v>
      </x:c>
    </x:row>
    <x:row r="58" ht="74" customHeight="1">
      <x:c r="A58" s="28" t="str">
        <x:v>EU_TRADE_MARK_REGULATION:Art.135</x:v>
      </x:c>
      <x:c r="B58" s="28" t="str">
        <x:v>Regulation (EU) 2017/1001 on the European Union trade mark</x:v>
      </x:c>
      <x:c r="C58" s="28" t="str">
        <x:v>https://eur-lex.europa.eu/eli/reg/2017/1001/2025-12-01/eng</x:v>
      </x:c>
      <x:c r="D58" s="28" t="str">
        <x:v>处理非 Article 124 所列案件的国家法院原则上将欧盟商标视为有效，并遵守本条例的程序协调规则。</x:v>
      </x:c>
      <x:c r="E58" s="31" t="str">
        <x:v>A national court dealing with an EU-trade-mark action other than an action listed in Article 124 must treat the EU trade mark as valid.</x:v>
      </x:c>
      <x:c r="F58" s="31" t="str">
        <x:v>Yes</x:v>
      </x:c>
      <x:c r="G58" s="31" t="str">
        <x:v>N/A</x:v>
      </x:c>
      <x:c r="H58" s="31" t="str">
        <x:v>YiRui Wang</x:v>
      </x:c>
      <x:c r="I58" s="34" t="n">
        <x:v>46269</x:v>
      </x:c>
    </x:row>
    <x:row r="59" ht="74" customHeight="1">
      <x:c r="A59" s="29" t="str">
        <x:v>EU_TRADE_MARK_REGULATION:Art.63(1)</x:v>
      </x:c>
      <x:c r="B59" s="29" t="str">
        <x:v>Regulation (EU) 2017/1001 on the European Union trade mark</x:v>
      </x:c>
      <x:c r="C59" s="29" t="str">
        <x:v>https://eur-lex.europa.eu/eli/reg/2017/1001/2025-12-01/eng</x:v>
      </x:c>
      <x:c r="D59" s="29" t="str">
        <x:v>欧盟商标的撤销或无效申请可依本条向欧盟知识产权局提交。</x:v>
      </x:c>
      <x:c r="E59" s="32" t="str">
        <x:v>An application for revocation or for a declaration of invalidity of an EU trade mark may be submitted to the European Union Intellectual Property Office by the persons and groups specified in this paragraph.</x:v>
      </x:c>
      <x:c r="F59" s="32" t="str">
        <x:v>Yes</x:v>
      </x:c>
      <x:c r="G59" s="32" t="str">
        <x:v>N/A</x:v>
      </x:c>
      <x:c r="H59" s="32" t="str">
        <x:v>YiRui Wang</x:v>
      </x:c>
      <x:c r="I59" s="35" t="n">
        <x:v>46269</x:v>
      </x:c>
    </x:row>
  </x:sheetData>
  <x:dataValidations count="1">
    <x:dataValidation type="list" sqref="F2:F59">
      <x:formula1>"Yes,Needs revision,No"</x:formula1>
    </x:dataValidation>
  </x:dataValidations>
  <x:pageMargins left="0.7" right="0.7" top="0.75" bottom="0.75" header="0.3" footer="0.3"/>
</x:worksheet>
</file>