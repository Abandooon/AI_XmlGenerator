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0ab0c100e54559" /></Relationships>
</file>

<file path=xl/workbook.xml><?xml version="1.0" encoding="utf-8"?>
<x:workbook xmlns:x="http://schemas.openxmlformats.org/spreadsheetml/2006/main">
  <x:sheets>
    <x:sheet xmlns:r="http://schemas.openxmlformats.org/officeDocument/2006/relationships" name="说明" sheetId="1" r:id="R9e86ebad17e14ee7"/>
    <x:sheet xmlns:r="http://schemas.openxmlformats.org/officeDocument/2006/relationships" name="评审差异" sheetId="2" r:id="Rf079cbe1c68f4134"/>
    <x:sheet xmlns:r="http://schemas.openxmlformats.org/officeDocument/2006/relationships" name="共识填写" sheetId="3" r:id="R138ffea6c9c947cf"/>
    <x:sheet xmlns:r="http://schemas.openxmlformats.org/officeDocument/2006/relationships" name="选项与编码" sheetId="4" r:id="R8ecf477168914c5e"/>
    <x:sheet xmlns:r="http://schemas.openxmlformats.org/officeDocument/2006/relationships" name="双方对照建议" sheetId="5" r:id="R0144e4eee172439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6"/>
      <x:color rgb="FFFFFFFF"/>
      <x:name val="Carlito"/>
    </x:font>
    <x:font>
      <x:i/>
      <x:sz val="11"/>
      <x:color rgb="FF1F1F1F"/>
      <x:name val="Carlito"/>
    </x:font>
    <x:font>
      <x:b/>
      <x:sz val="11"/>
      <x:name val="Carlito"/>
    </x:font>
    <x:font>
      <x:b/>
      <x:sz val="11"/>
      <x:color rgb="FF7F6000"/>
      <x:name val="Carlito"/>
    </x:font>
    <x:font>
      <x:b/>
      <x:sz val="11"/>
      <x:color rgb="FFFFFFFF"/>
      <x:name val="Carlito"/>
    </x:font>
    <x:font>
      <x:i/>
      <x:sz val="11"/>
      <x:name val="Carlito"/>
    </x:font>
    <x:font>
      <x:b/>
      <x:sz val="14"/>
      <x:color rgb="FFFFFFFF"/>
      <x:name val="Carlito"/>
    </x:font>
  </x:fonts>
  <x:fills count="12">
    <x:fill>
      <x:patternFill patternType="none"/>
    </x:fill>
    <x:fill>
      <x:patternFill patternType="gray125"/>
    </x:fill>
    <x:fill>
      <x:patternFill patternType="solid">
        <x:fgColor rgb="FF17375E"/>
      </x:patternFill>
    </x:fill>
    <x:fill>
      <x:patternFill patternType="solid">
        <x:fgColor rgb="FFDDEBF7"/>
      </x:patternFill>
    </x:fill>
    <x:fill>
      <x:patternFill patternType="solid">
        <x:fgColor rgb="FFF2F2F2"/>
      </x:patternFill>
    </x:fill>
    <x:fill>
      <x:patternFill patternType="solid">
        <x:fgColor rgb="FFFFF2CC"/>
      </x:patternFill>
    </x:fill>
    <x:fill>
      <x:patternFill patternType="solid">
        <x:fgColor rgb="FFEAF2F8"/>
      </x:patternFill>
    </x:fill>
    <x:fill>
      <x:patternFill patternType="solid">
        <x:fgColor rgb="FFF7F7F7"/>
      </x:patternFill>
    </x:fill>
    <x:fill>
      <x:patternFill patternType="solid">
        <x:fgColor rgb="FFEEF5E9"/>
      </x:patternFill>
    </x:fill>
    <x:fill>
      <x:patternFill patternType="solid">
        <x:fgColor rgb="FF1F4E78"/>
      </x:patternFill>
    </x:fill>
    <x:fill>
      <x:patternFill patternType="solid">
        <x:fgColor rgb="FFD9EAF7"/>
      </x:patternFill>
    </x:fill>
    <x:fill>
      <x:patternFill patternType="solid">
        <x:fgColor rgb="FF5B9BD5"/>
      </x:patternFill>
    </x:fill>
  </x:fills>
  <x:borders count="25">
    <x:border/>
    <x:border>
      <x:bottom style="thin">
        <x:color rgb="FFB4C6E7"/>
      </x:bottom>
    </x:border>
    <x:border>
      <x:top style="thin">
        <x:color rgb="FFB4C6E7"/>
      </x:top>
      <x:bottom style="thin">
        <x:color rgb="FFB4C6E7"/>
      </x:bottom>
    </x:border>
    <x:border>
      <x:top style="thin">
        <x:color rgb="FFB4C6E7"/>
      </x:top>
    </x:border>
    <x:border>
      <x:right style="thin">
        <x:color rgb="FFB4C6E7"/>
      </x:right>
    </x:border>
    <x:border>
      <x:left style="thin">
        <x:color rgb="FFB4C6E7"/>
      </x:left>
      <x:right style="thin">
        <x:color rgb="FFB4C6E7"/>
      </x:right>
    </x:border>
    <x:border>
      <x:left style="thin">
        <x:color rgb="FFB4C6E7"/>
      </x:left>
    </x:border>
    <x:border>
      <x:left style="thin">
        <x:color rgb="FFB4C6E7"/>
      </x:left>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rder>
    <x:border>
      <x:right style="thin">
        <x:color rgb="FFB4C6E7"/>
      </x:right>
      <x:top style="thin">
        <x:color rgb="FFB4C6E7"/>
      </x:top>
    </x:border>
    <x:border>
      <x:left style="thin">
        <x:color rgb="FFB4C6E7"/>
      </x:left>
      <x:bottom style="thin">
        <x:color rgb="FFB4C6E7"/>
      </x:bottom>
    </x:border>
    <x:border>
      <x:right style="thin">
        <x:color rgb="FFB4C6E7"/>
      </x:right>
      <x:bottom style="thin">
        <x:color rgb="FFB4C6E7"/>
      </x:bottom>
    </x:border>
    <x:border>
      <x:left style="thin">
        <x:color rgb="FFB4C6E7"/>
      </x:left>
      <x:right style="thin">
        <x:color rgb="FFB4C6E7"/>
      </x:right>
      <x:top style="thin">
        <x:color rgb="FFB4C6E7"/>
      </x:top>
      <x:bottom style="thin">
        <x:color rgb="FFB4C6E7"/>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B4C6E7"/>
      </x:left>
      <x:right style="thin">
        <x:color rgb="FFB4C6E7"/>
      </x:right>
      <x:bottom style="thin">
        <x:color rgb="FFB4C6E7"/>
      </x:bottom>
    </x:border>
    <x:border>
      <x:left style="thin">
        <x:color rgb="FFB4C6E7"/>
      </x:left>
      <x:right style="thin">
        <x:color rgb="FFB4C6E7"/>
      </x:right>
      <x:top style="thin">
        <x:color rgb="FFB4C6E7"/>
      </x:top>
    </x:border>
  </x:borders>
  <x:cellStyleXfs count="1">
    <x:xf numFmtId="0" fontId="0" fillId="0" borderId="0"/>
  </x:cellStyleXfs>
  <x:cellXfs count="20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5" borderId="0" xfId="0" applyNumberFormat="1" applyFont="1" applyFill="1" applyBorder="1"/>
    <x:xf numFmtId="0" fontId="0" fillId="5" borderId="7" xfId="0" applyNumberFormat="1" applyFont="1" applyFill="1" applyBorder="1"/>
    <x:xf numFmtId="0" fontId="0" fillId="5" borderId="2" xfId="0" applyNumberFormat="1" applyFont="1" applyFill="1" applyBorder="1"/>
    <x:xf numFmtId="0" fontId="0" fillId="5" borderId="8" xfId="0" applyNumberFormat="1" applyFont="1" applyFill="1" applyBorder="1"/>
    <x:xf numFmtId="0" fontId="0" fillId="5" borderId="7"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7"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6" borderId="0" xfId="0" applyNumberFormat="1" applyFont="1" applyFill="1" applyBorder="1"/>
    <x:xf numFmtId="0" fontId="0" fillId="6" borderId="7" xfId="0" applyNumberFormat="1" applyFont="1" applyFill="1" applyBorder="1"/>
    <x:xf numFmtId="0" fontId="0" fillId="6" borderId="2" xfId="0" applyNumberFormat="1" applyFont="1" applyFill="1" applyBorder="1"/>
    <x:xf numFmtId="0" fontId="0" fillId="6" borderId="8" xfId="0" applyNumberFormat="1" applyFont="1" applyFill="1" applyBorder="1"/>
    <x:xf numFmtId="0" fontId="0" fillId="6" borderId="7"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7"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6" borderId="8" xfId="0" applyNumberFormat="1" applyFont="1" applyFill="1" applyBorder="1" applyAlignment="1">
      <x:alignment vertical="top" wrapText="1"/>
    </x:xf>
    <x:xf numFmtId="200" fontId="0" fillId="5" borderId="7" xfId="0" applyNumberFormat="1" applyFont="1" applyFill="1" applyBorder="1" applyAlignment="1">
      <x:alignment vertical="top" wrapText="1"/>
    </x:xf>
    <x:xf numFmtId="0" fontId="0" fillId="6" borderId="9" xfId="0" applyNumberFormat="1" applyFont="1" applyFill="1" applyBorder="1"/>
    <x:xf numFmtId="0" fontId="0" fillId="6" borderId="3" xfId="0" applyNumberFormat="1" applyFont="1" applyFill="1" applyBorder="1"/>
    <x:xf numFmtId="0" fontId="0" fillId="6" borderId="10" xfId="0" applyNumberFormat="1" applyFont="1" applyFill="1" applyBorder="1"/>
    <x:xf numFmtId="0" fontId="0" fillId="6" borderId="6" xfId="0" applyNumberFormat="1" applyFont="1" applyFill="1" applyBorder="1"/>
    <x:xf numFmtId="0" fontId="0" fillId="6" borderId="4" xfId="0" applyNumberFormat="1" applyFont="1" applyFill="1" applyBorder="1"/>
    <x:xf numFmtId="0" fontId="0" fillId="6" borderId="11" xfId="0" applyNumberFormat="1" applyFont="1" applyFill="1" applyBorder="1"/>
    <x:xf numFmtId="0" fontId="0" fillId="6" borderId="1" xfId="0" applyNumberFormat="1" applyFont="1" applyFill="1" applyBorder="1"/>
    <x:xf numFmtId="0" fontId="0" fillId="6" borderId="12" xfId="0" applyNumberFormat="1" applyFont="1" applyFill="1" applyBorder="1"/>
    <x:xf numFmtId="0" fontId="0" fillId="6" borderId="9"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9"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5" fillId="2" borderId="13" xfId="0" applyNumberFormat="1" applyFont="1" applyFill="1" applyBorder="1"/>
    <x:xf numFmtId="0" fontId="5" fillId="2" borderId="13" xfId="0" applyNumberFormat="1" applyFont="1" applyFill="1" applyBorder="1" applyAlignment="1">
      <x:alignment wrapText="1"/>
    </x:xf>
    <x:xf numFmtId="0" fontId="5" fillId="2" borderId="13" xfId="0" applyNumberFormat="1" applyFont="1" applyFill="1" applyBorder="1" applyAlignment="1">
      <x:alignment horizontal="center" wrapText="1"/>
    </x:xf>
    <x:xf numFmtId="0" fontId="5"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4" borderId="14" xfId="0" applyNumberFormat="1" applyFont="1" applyFill="1" applyBorder="1" applyAlignment="1">
      <x:alignment vertical="top" wrapText="1"/>
    </x:xf>
    <x:xf numFmtId="0" fontId="0" fillId="4" borderId="15" xfId="0" applyNumberFormat="1" applyFont="1" applyFill="1" applyBorder="1" applyAlignment="1">
      <x:alignment vertical="top" wrapText="1"/>
    </x:xf>
    <x:xf numFmtId="0" fontId="0" fillId="4" borderId="17" xfId="0" applyNumberFormat="1" applyFont="1" applyFill="1" applyBorder="1" applyAlignment="1">
      <x:alignment vertical="top" wrapText="1"/>
    </x:xf>
    <x:xf numFmtId="0" fontId="0" fillId="4" borderId="18" xfId="0" applyNumberFormat="1" applyFont="1" applyFill="1" applyBorder="1" applyAlignment="1">
      <x:alignment vertical="top" wrapText="1"/>
    </x:xf>
    <x:xf numFmtId="0" fontId="0" fillId="4" borderId="20" xfId="0" applyNumberFormat="1" applyFont="1" applyFill="1" applyBorder="1" applyAlignment="1">
      <x:alignment vertical="top" wrapText="1"/>
    </x:xf>
    <x:xf numFmtId="0" fontId="0" fillId="4" borderId="21"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0" fillId="7" borderId="15"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0" fillId="7" borderId="21" xfId="0" applyNumberFormat="1" applyFont="1" applyFill="1" applyBorder="1" applyAlignment="1">
      <x:alignment vertical="top" wrapText="1"/>
    </x:xf>
    <x:xf numFmtId="0" fontId="0" fillId="8" borderId="15" xfId="0" applyNumberFormat="1" applyFont="1" applyFill="1" applyBorder="1" applyAlignment="1">
      <x:alignment vertical="top" wrapText="1"/>
    </x:xf>
    <x:xf numFmtId="0" fontId="0" fillId="8" borderId="16" xfId="0" applyNumberFormat="1" applyFont="1" applyFill="1" applyBorder="1" applyAlignment="1">
      <x:alignment vertical="top" wrapText="1"/>
    </x:xf>
    <x:xf numFmtId="0" fontId="0" fillId="8" borderId="18" xfId="0" applyNumberFormat="1" applyFont="1" applyFill="1" applyBorder="1" applyAlignment="1">
      <x:alignment vertical="top" wrapText="1"/>
    </x:xf>
    <x:xf numFmtId="0" fontId="0" fillId="8" borderId="19" xfId="0" applyNumberFormat="1" applyFont="1" applyFill="1" applyBorder="1" applyAlignment="1">
      <x:alignment vertical="top" wrapText="1"/>
    </x:xf>
    <x:xf numFmtId="0" fontId="0" fillId="8" borderId="21" xfId="0" applyNumberFormat="1" applyFont="1" applyFill="1" applyBorder="1" applyAlignment="1">
      <x:alignment vertical="top" wrapText="1"/>
    </x:xf>
    <x:xf numFmtId="0" fontId="0" fillId="8" borderId="22" xfId="0" applyNumberFormat="1" applyFont="1" applyFill="1" applyBorder="1" applyAlignment="1">
      <x:alignment vertical="top" wrapText="1"/>
    </x:xf>
    <x:xf numFmtId="0" fontId="0" fillId="4" borderId="14" xfId="0" applyNumberFormat="1" applyFont="1" applyFill="1" applyBorder="1" applyAlignment="1">
      <x:alignment horizontal="center" vertical="top" wrapText="1"/>
    </x:xf>
    <x:xf numFmtId="0" fontId="0" fillId="4" borderId="15" xfId="0" applyNumberFormat="1" applyFont="1" applyFill="1" applyBorder="1" applyAlignment="1">
      <x:alignment horizontal="center" vertical="top" wrapText="1"/>
    </x:xf>
    <x:xf numFmtId="0" fontId="0" fillId="4" borderId="17" xfId="0" applyNumberFormat="1" applyFont="1" applyFill="1" applyBorder="1" applyAlignment="1">
      <x:alignment horizontal="center" vertical="top" wrapText="1"/>
    </x:xf>
    <x:xf numFmtId="0" fontId="0" fillId="4" borderId="18" xfId="0" applyNumberFormat="1" applyFont="1" applyFill="1" applyBorder="1" applyAlignment="1">
      <x:alignment horizontal="center" vertical="top" wrapText="1"/>
    </x:xf>
    <x:xf numFmtId="0" fontId="0" fillId="4" borderId="20" xfId="0" applyNumberFormat="1" applyFont="1" applyFill="1" applyBorder="1" applyAlignment="1">
      <x:alignment horizontal="center" vertical="top" wrapText="1"/>
    </x:xf>
    <x:xf numFmtId="0" fontId="0" fillId="4" borderId="21" xfId="0" applyNumberFormat="1" applyFont="1" applyFill="1" applyBorder="1" applyAlignment="1">
      <x:alignment horizontal="center" vertical="top" wrapText="1"/>
    </x:xf>
    <x:xf numFmtId="0" fontId="0" fillId="6" borderId="14"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0" fillId="4" borderId="16" xfId="0" applyNumberFormat="1" applyFont="1" applyFill="1" applyBorder="1" applyAlignment="1">
      <x:alignment vertical="top" wrapText="1"/>
    </x:xf>
    <x:xf numFmtId="0" fontId="0" fillId="4" borderId="19" xfId="0" applyNumberFormat="1" applyFont="1" applyFill="1" applyBorder="1" applyAlignment="1">
      <x:alignment vertical="top" wrapText="1"/>
    </x:xf>
    <x:xf numFmtId="0" fontId="0" fillId="4" borderId="22" xfId="0" applyNumberFormat="1" applyFont="1" applyFill="1" applyBorder="1" applyAlignment="1">
      <x:alignment vertical="top" wrapText="1"/>
    </x:xf>
    <x:xf numFmtId="0" fontId="0" fillId="6" borderId="14" xfId="0" applyNumberFormat="1" applyFont="1" applyFill="1" applyBorder="1" applyAlignment="1">
      <x:alignment horizontal="center" vertical="top" wrapText="1"/>
    </x:xf>
    <x:xf numFmtId="0" fontId="0" fillId="6" borderId="15" xfId="0" applyNumberFormat="1" applyFont="1" applyFill="1" applyBorder="1" applyAlignment="1">
      <x:alignment horizontal="center" vertical="top" wrapText="1"/>
    </x:xf>
    <x:xf numFmtId="0" fontId="0" fillId="6" borderId="17" xfId="0" applyNumberFormat="1" applyFont="1" applyFill="1" applyBorder="1" applyAlignment="1">
      <x:alignment horizontal="center" vertical="top" wrapText="1"/>
    </x:xf>
    <x:xf numFmtId="0" fontId="0" fillId="6" borderId="18" xfId="0" applyNumberFormat="1" applyFont="1" applyFill="1" applyBorder="1" applyAlignment="1">
      <x:alignment horizontal="center" vertical="top" wrapText="1"/>
    </x:xf>
    <x:xf numFmtId="0" fontId="0" fillId="6" borderId="20" xfId="0" applyNumberFormat="1" applyFont="1" applyFill="1" applyBorder="1" applyAlignment="1">
      <x:alignment horizontal="center" vertical="top" wrapText="1"/>
    </x:xf>
    <x:xf numFmtId="0" fontId="0" fillId="6" borderId="21" xfId="0" applyNumberFormat="1" applyFont="1" applyFill="1" applyBorder="1" applyAlignment="1">
      <x:alignment horizontal="center" vertical="top" wrapText="1"/>
    </x:xf>
    <x:xf numFmtId="0" fontId="0" fillId="5" borderId="15" xfId="0" applyNumberFormat="1" applyFont="1" applyFill="1" applyBorder="1" applyAlignment="1">
      <x:alignment horizontal="center" vertical="top" wrapText="1"/>
    </x:xf>
    <x:xf numFmtId="0" fontId="0" fillId="5" borderId="18" xfId="0" applyNumberFormat="1" applyFont="1" applyFill="1" applyBorder="1" applyAlignment="1">
      <x:alignment horizontal="center" vertical="top" wrapText="1"/>
    </x:xf>
    <x:xf numFmtId="0" fontId="0" fillId="5" borderId="21" xfId="0" applyNumberFormat="1" applyFont="1" applyFill="1" applyBorder="1" applyAlignment="1">
      <x:alignment horizontal="center" vertical="top" wrapText="1"/>
    </x:xf>
    <x:xf numFmtId="200" fontId="0" fillId="5" borderId="15" xfId="0" applyNumberFormat="1" applyFont="1" applyFill="1" applyBorder="1" applyAlignment="1">
      <x:alignment horizontal="center" vertical="top" wrapText="1"/>
    </x:xf>
    <x:xf numFmtId="200" fontId="0" fillId="5" borderId="18" xfId="0" applyNumberFormat="1" applyFont="1" applyFill="1" applyBorder="1" applyAlignment="1">
      <x:alignment horizontal="center" vertical="top" wrapText="1"/>
    </x:xf>
    <x:xf numFmtId="200" fontId="0" fillId="5" borderId="21" xfId="0" applyNumberFormat="1" applyFont="1" applyFill="1" applyBorder="1" applyAlignment="1">
      <x:alignment horizontal="center" vertical="top" wrapText="1"/>
    </x:xf>
    <x:xf numFmtId="0" fontId="0" fillId="0" borderId="12" xfId="0" applyNumberFormat="1" applyFont="1" applyFill="1" applyBorder="1"/>
    <x:xf numFmtId="0" fontId="0" fillId="0" borderId="23" xfId="0" applyNumberFormat="1" applyFont="1" applyFill="1" applyBorder="1"/>
    <x:xf numFmtId="0" fontId="0" fillId="0" borderId="11" xfId="0" applyNumberFormat="1" applyFont="1" applyFill="1" applyBorder="1"/>
    <x:xf numFmtId="0" fontId="0" fillId="0" borderId="8" xfId="0" applyNumberFormat="1" applyFont="1" applyFill="1" applyBorder="1"/>
    <x:xf numFmtId="0" fontId="0" fillId="0" borderId="13" xfId="0" applyNumberFormat="1" applyFont="1" applyFill="1" applyBorder="1"/>
    <x:xf numFmtId="0" fontId="0" fillId="0" borderId="7" xfId="0" applyNumberFormat="1" applyFont="1" applyFill="1" applyBorder="1"/>
    <x:xf numFmtId="0" fontId="0" fillId="0" borderId="10" xfId="0" applyNumberFormat="1" applyFont="1" applyFill="1" applyBorder="1"/>
    <x:xf numFmtId="0" fontId="0" fillId="0" borderId="24" xfId="0" applyNumberFormat="1" applyFont="1" applyFill="1" applyBorder="1"/>
    <x:xf numFmtId="0" fontId="0" fillId="0" borderId="9" xfId="0" applyNumberFormat="1" applyFont="1" applyFill="1" applyBorder="1"/>
    <x:xf numFmtId="0" fontId="0" fillId="0" borderId="1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horizontal="center" wrapText="1"/>
    </x:xf>
    <x:xf numFmtId="0" fontId="5" fillId="11"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5" fillId="11"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dxfs count="5">
    <x:dxf>
      <x:font>
        <x:b/>
        <x:color rgb="FF375623"/>
      </x:font>
      <x:fill>
        <x:patternFill>
          <x:bgColor rgb="FFE2F0D9"/>
        </x:patternFill>
      </x:fill>
    </x:dxf>
    <x:dxf>
      <x:font>
        <x:b/>
        <x:color rgb="FF375623"/>
      </x:font>
      <x:fill>
        <x:patternFill>
          <x:bgColor rgb="FFE2F0D9"/>
        </x:patternFill>
      </x:fill>
    </x:dxf>
    <x:dxf>
      <x:font>
        <x:color rgb="FF9C0006"/>
      </x:font>
      <x:fill>
        <x:patternFill>
          <x:bgColor rgb="FFFCE4D6"/>
        </x:patternFill>
      </x:fill>
    </x:dxf>
    <x:dxf>
      <x:font>
        <x:b/>
        <x:color rgb="FF375623"/>
      </x:font>
      <x:fill>
        <x:patternFill>
          <x:bgColor rgb="FFE2F0D9"/>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0be05be7ab495e" /><Relationship Type="http://schemas.openxmlformats.org/officeDocument/2006/relationships/theme" Target="/xl/theme/theme1.xml" Id="R94ef782c4b394a61" /><Relationship Type="http://schemas.openxmlformats.org/officeDocument/2006/relationships/sharedStrings" Target="/xl/sharedStrings.xml" Id="R7655b53547414352" /><Relationship Type="http://schemas.openxmlformats.org/officeDocument/2006/relationships/worksheet" Target="/xl/worksheets/sheet1.xml" Id="R9e86ebad17e14ee7" /><Relationship Type="http://schemas.openxmlformats.org/officeDocument/2006/relationships/worksheet" Target="/xl/worksheets/sheet2.xml" Id="Rf079cbe1c68f4134" /><Relationship Type="http://schemas.openxmlformats.org/officeDocument/2006/relationships/worksheet" Target="/xl/worksheets/sheet3.xml" Id="R138ffea6c9c947cf" /><Relationship Type="http://schemas.openxmlformats.org/officeDocument/2006/relationships/worksheet" Target="/xl/worksheets/sheet4.xml" Id="R8ecf477168914c5e" /><Relationship Type="http://schemas.openxmlformats.org/officeDocument/2006/relationships/worksheet" Target="/xl/worksheets/sheet5.xml" Id="R0144e4eee17243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PIL 双评审分歧共识表 C2</x:v>
      </x:c>
      <x:c r="B1" s="4" t="str">
        <x:v>PIL 双评审分歧共识表 C2</x:v>
      </x:c>
      <x:c r="C1" s="4" t="str">
        <x:v>PIL 双评审分歧共识表 C2</x:v>
      </x:c>
      <x:c r="D1" s="4" t="str">
        <x:v>PIL 双评审分歧共识表 C2</x:v>
      </x:c>
      <x:c r="E1" s="4" t="str">
        <x:v>PIL 双评审分歧共识表 C2</x:v>
      </x:c>
      <x:c r="F1" s="4" t="str">
        <x:v>PIL 双评审分歧共识表 C2</x:v>
      </x:c>
      <x:c r="G1" s="4" t="str">
        <x:v>PIL 双评审分歧共识表 C2</x:v>
      </x:c>
      <x:c r="H1" s="4" t="str">
        <x:v>PIL 双评审分歧共识表 C2</x:v>
      </x:c>
    </x:row>
    <x:row r="2" ht="34" customHeight="1">
      <x:c r="A2" s="8" t="str">
        <x:v>仅处理两份独立评审中需要裁决的 9 个案例；不含旧 gold、模型输出、实验评分或自动解析结果。</x:v>
      </x:c>
      <x:c r="B2" s="8" t="str">
        <x:v>仅处理两份独立评审中需要裁决的 9 个案例；不含旧 gold、模型输出、实验评分或自动解析结果。</x:v>
      </x:c>
      <x:c r="C2" s="8" t="str">
        <x:v>仅处理两份独立评审中需要裁决的 9 个案例；不含旧 gold、模型输出、实验评分或自动解析结果。</x:v>
      </x:c>
      <x:c r="D2" s="8" t="str">
        <x:v>仅处理两份独立评审中需要裁决的 9 个案例；不含旧 gold、模型输出、实验评分或自动解析结果。</x:v>
      </x:c>
      <x:c r="E2" s="8" t="str">
        <x:v>仅处理两份独立评审中需要裁决的 9 个案例；不含旧 gold、模型输出、实验评分或自动解析结果。</x:v>
      </x:c>
      <x:c r="F2" s="8" t="str">
        <x:v>仅处理两份独立评审中需要裁决的 9 个案例；不含旧 gold、模型输出、实验评分或自动解析结果。</x:v>
      </x:c>
      <x:c r="G2" s="8" t="str">
        <x:v>仅处理两份独立评审中需要裁决的 9 个案例；不含旧 gold、模型输出、实验评分或自动解析结果。</x:v>
      </x:c>
      <x:c r="H2" s="8" t="str">
        <x:v>仅处理两份独立评审中需要裁决的 9 个案例；不含旧 gold、模型输出、实验评分或自动解析结果。</x:v>
      </x:c>
    </x:row>
    <x:row r="4" ht="34" customHeight="1">
      <x:c r="A4" s="17" t="str">
        <x:v>用途</x:v>
      </x:c>
      <x:c r="B4" s="26" t="str">
        <x:v>由原两位独立评审者共同讨论并形成最终共识判断。该表不是第三次独立评审，也不是模型评分。</x:v>
      </x:c>
      <x:c r="C4" s="27"/>
      <x:c r="D4" s="27"/>
      <x:c r="E4" s="27"/>
      <x:c r="F4" s="27"/>
      <x:c r="G4" s="27"/>
      <x:c r="H4" s="28"/>
    </x:row>
    <x:row r="5" ht="34" customHeight="1">
      <x:c r="A5" s="18" t="str">
        <x:v>本次范围</x:v>
      </x:c>
      <x:c r="B5" s="26" t="str">
        <x:v>9 例：2 例主要结论冲突，另 7 例涉及主要/备选类型或材料充分性差异。</x:v>
      </x:c>
      <x:c r="C5" s="27"/>
      <x:c r="D5" s="27"/>
      <x:c r="E5" s="27"/>
      <x:c r="F5" s="27"/>
      <x:c r="G5" s="27"/>
      <x:c r="H5" s="28"/>
    </x:row>
    <x:row r="6" ht="34" customHeight="1">
      <x:c r="A6" s="18" t="str">
        <x:v>评审者标签</x:v>
      </x:c>
      <x:c r="B6" s="26" t="str">
        <x:v>R1 与 R2 仅为匿名标签；不得据此推断谁“更正确”。共同核对案情、条文和官方判例后再填写。</x:v>
      </x:c>
      <x:c r="C6" s="27"/>
      <x:c r="D6" s="27"/>
      <x:c r="E6" s="27"/>
      <x:c r="F6" s="27"/>
      <x:c r="G6" s="27"/>
      <x:c r="H6" s="28"/>
    </x:row>
    <x:row r="7" ht="34" customHeight="1">
      <x:c r="A7" s="18" t="str">
        <x:v>允许材料</x:v>
      </x:c>
      <x:c r="B7" s="26" t="str">
        <x:v>Regulation (EU) No 1215/2012 的 EUR-Lex 正文，以及 EUR-Lex/CURIA 官方判例。</x:v>
      </x:c>
      <x:c r="C7" s="27"/>
      <x:c r="D7" s="27"/>
      <x:c r="E7" s="27"/>
      <x:c r="F7" s="27"/>
      <x:c r="G7" s="27"/>
      <x:c r="H7" s="28"/>
    </x:row>
    <x:row r="8" ht="34" customHeight="1">
      <x:c r="A8" s="18" t="str">
        <x:v>禁止材料</x:v>
      </x:c>
      <x:c r="B8" s="26" t="str">
        <x:v>旧 gold、任何模型输出、项目评分、自动解析、知识库标签和本实验结果。</x:v>
      </x:c>
      <x:c r="C8" s="27"/>
      <x:c r="D8" s="27"/>
      <x:c r="E8" s="27"/>
      <x:c r="F8" s="27"/>
      <x:c r="G8" s="27"/>
      <x:c r="H8" s="28"/>
    </x:row>
    <x:row r="9" ht="34" customHeight="1">
      <x:c r="A9" s="18" t="str">
        <x:v>主要结论</x:v>
      </x:c>
      <x:c r="B9" s="26" t="str">
        <x:v>必须从固定标签中选一项；事实不足时使用 Abstain_Insufficient_Info，不得猜测。</x:v>
      </x:c>
      <x:c r="C9" s="27"/>
      <x:c r="D9" s="27"/>
      <x:c r="E9" s="27"/>
      <x:c r="F9" s="27"/>
      <x:c r="G9" s="27"/>
      <x:c r="H9" s="28"/>
    </x:row>
    <x:row r="10" ht="34" customHeight="1">
      <x:c r="A10" s="18" t="str">
        <x:v>主要类型</x:v>
      </x:c>
      <x:c r="B10" s="26" t="str">
        <x:v>只填一个原子标签；其他可成立的基础写入“备选管辖类型”，多个用英文分号分隔。</x:v>
      </x:c>
      <x:c r="C10" s="27"/>
      <x:c r="D10" s="27"/>
      <x:c r="E10" s="27"/>
      <x:c r="F10" s="27"/>
      <x:c r="G10" s="27"/>
      <x:c r="H10" s="28"/>
    </x:row>
    <x:row r="11" ht="34" customHeight="1">
      <x:c r="A11" s="18" t="str">
        <x:v>材料不足</x:v>
      </x:c>
      <x:c r="B11" s="26" t="str">
        <x:v>若差异源于案情缺失，必须明确缺失事实；如需修订案情，填写修订建议，之后还要对修订后的案例再次确认。</x:v>
      </x:c>
      <x:c r="C11" s="27"/>
      <x:c r="D11" s="27"/>
      <x:c r="E11" s="27"/>
      <x:c r="F11" s="27"/>
      <x:c r="G11" s="27"/>
      <x:c r="H11" s="28"/>
    </x:row>
    <x:row r="12" ht="34" customHeight="1">
      <x:c r="A12" s="18" t="str">
        <x:v>完成判据</x:v>
      </x:c>
      <x:c r="B12" s="26" t="str">
        <x:v>一致性检查为“通过”，R1 与 R2 均确认 yes，并填写确认日期。</x:v>
      </x:c>
      <x:c r="C12" s="27"/>
      <x:c r="D12" s="27"/>
      <x:c r="E12" s="27"/>
      <x:c r="F12" s="27"/>
      <x:c r="G12" s="27"/>
      <x:c r="H12" s="28"/>
    </x:row>
    <x:row r="13" ht="34" customHeight="1">
      <x:c r="A13" s="19" t="str">
        <x:v>当前完成度</x:v>
      </x:c>
      <x:c r="B13" s="30" t="str">
        <x:f>COUNTIF('共识填写'!$V$6:$V$14,"已确认")&amp;" / 9"</x:f>
        <x:v>9 / 9</x:v>
      </x:c>
      <x:c r="C13" s="27"/>
      <x:c r="D13" s="27"/>
      <x:c r="E13" s="27"/>
      <x:c r="F13" s="27"/>
      <x:c r="G13" s="27"/>
      <x:c r="H13" s="28"/>
    </x:row>
    <x:row r="14" ht="34" customHeight="1"/>
    <x:row r="15" ht="34" customHeight="1">
      <x:c r="A15" s="32" t="str">
        <x:v>联合确认（请在完成全部案例后填写）</x:v>
      </x:c>
      <x:c r="B15" s="32" t="str">
        <x:v>联合确认（请在完成全部案例后填写）</x:v>
      </x:c>
      <x:c r="C15" s="32" t="str">
        <x:v>联合确认（请在完成全部案例后填写）</x:v>
      </x:c>
      <x:c r="D15" s="32" t="str">
        <x:v>联合确认（请在完成全部案例后填写）</x:v>
      </x:c>
      <x:c r="E15" s="32" t="str">
        <x:v>联合确认（请在完成全部案例后填写）</x:v>
      </x:c>
      <x:c r="F15" s="32" t="str">
        <x:v>联合确认（请在完成全部案例后填写）</x:v>
      </x:c>
      <x:c r="G15" s="32" t="str">
        <x:v>联合确认（请在完成全部案例后填写）</x:v>
      </x:c>
      <x:c r="H15" s="32" t="str">
        <x:v>联合确认（请在完成全部案例后填写）</x:v>
      </x:c>
    </x:row>
    <x:row r="16" ht="34" customHeight="1">
      <x:c r="A16" s="34" t="str">
        <x:v>R1 姓名或编号</x:v>
      </x:c>
      <x:c r="B16" s="42" t="str">
        <x:v>xingyue yang</x:v>
      </x:c>
      <x:c r="C16" s="43"/>
      <x:c r="D16" s="43"/>
      <x:c r="E16" s="43"/>
      <x:c r="F16" s="43"/>
      <x:c r="G16" s="43"/>
      <x:c r="H16" s="44"/>
    </x:row>
    <x:row r="17" ht="34" customHeight="1">
      <x:c r="A17" s="34" t="str">
        <x:v>R2 姓名或编号</x:v>
      </x:c>
      <x:c r="B17" s="42" t="str">
        <x:v>YiRui Wang</x:v>
      </x:c>
      <x:c r="C17" s="43"/>
      <x:c r="D17" s="43"/>
      <x:c r="E17" s="43"/>
      <x:c r="F17" s="43"/>
      <x:c r="G17" s="43"/>
      <x:c r="H17" s="44"/>
    </x:row>
    <x:row r="18" ht="34" customHeight="1">
      <x:c r="A18" s="34" t="str">
        <x:v>共识完成日期</x:v>
      </x:c>
      <x:c r="B18" s="55" t="n">
        <x:v>46269</x:v>
      </x:c>
      <x:c r="C18" s="43"/>
      <x:c r="D18" s="43"/>
      <x:c r="E18" s="43"/>
      <x:c r="F18" s="43"/>
      <x:c r="G18" s="43"/>
      <x:c r="H18" s="44"/>
    </x:row>
    <x:row r="19" ht="34" customHeight="1">
      <x:c r="A19" s="34" t="str">
        <x:v>联合声明</x:v>
      </x:c>
      <x:c r="B19" s="52" t="str">
        <x:v>我们确认本表仅依据案情与权威法源形成；未查看旧 gold、模型输出或实验评分；对“已确认”案例的共识字段共同负责。</x:v>
      </x:c>
      <x:c r="C19" s="53"/>
      <x:c r="D19" s="53"/>
      <x:c r="E19" s="53"/>
      <x:c r="F19" s="53"/>
      <x:c r="G19" s="53"/>
      <x:c r="H19" s="54"/>
    </x:row>
    <x:row r="20" ht="34" customHeight="1"/>
    <x:row r="21" ht="34" customHeight="1">
      <x:c r="A21" s="32" t="str">
        <x:v>提交前检查</x:v>
      </x:c>
      <x:c r="B21" s="32" t="str">
        <x:v>提交前检查</x:v>
      </x:c>
      <x:c r="C21" s="32" t="str">
        <x:v>提交前检查</x:v>
      </x:c>
      <x:c r="D21" s="32" t="str">
        <x:v>提交前检查</x:v>
      </x:c>
      <x:c r="E21" s="32" t="str">
        <x:v>提交前检查</x:v>
      </x:c>
      <x:c r="F21" s="32" t="str">
        <x:v>提交前检查</x:v>
      </x:c>
      <x:c r="G21" s="32" t="str">
        <x:v>提交前检查</x:v>
      </x:c>
      <x:c r="H21" s="32" t="str">
        <x:v>提交前检查</x:v>
      </x:c>
    </x:row>
    <x:row r="22" ht="34" customHeight="1">
      <x:c r="A22" s="73" t="str">
        <x:v>1. 逐案核对“评审差异”页；2. 只在“共识填写”页黄色单元格作答；3. 若修订案情事实，先记录建议，不直接覆盖原案情；4. 确保 9 行状态均为“已确认”；5. 保持 .xlsx 格式回传。</x:v>
      </x:c>
      <x:c r="B22" s="74" t="str">
        <x:v>1. 逐案核对“评审差异”页；2. 只在“共识填写”页黄色单元格作答；3. 若修订案情事实，先记录建议，不直接覆盖原案情；4. 确保 9 行状态均为“已确认”；5. 保持 .xlsx 格式回传。</x:v>
      </x:c>
      <x:c r="C22" s="74" t="str">
        <x:v>1. 逐案核对“评审差异”页；2. 只在“共识填写”页黄色单元格作答；3. 若修订案情事实，先记录建议，不直接覆盖原案情；4. 确保 9 行状态均为“已确认”；5. 保持 .xlsx 格式回传。</x:v>
      </x:c>
      <x:c r="D22" s="74" t="str">
        <x:v>1. 逐案核对“评审差异”页；2. 只在“共识填写”页黄色单元格作答；3. 若修订案情事实，先记录建议，不直接覆盖原案情；4. 确保 9 行状态均为“已确认”；5. 保持 .xlsx 格式回传。</x:v>
      </x:c>
      <x:c r="E22" s="74" t="str">
        <x:v>1. 逐案核对“评审差异”页；2. 只在“共识填写”页黄色单元格作答；3. 若修订案情事实，先记录建议，不直接覆盖原案情；4. 确保 9 行状态均为“已确认”；5. 保持 .xlsx 格式回传。</x:v>
      </x:c>
      <x:c r="F22" s="74" t="str">
        <x:v>1. 逐案核对“评审差异”页；2. 只在“共识填写”页黄色单元格作答；3. 若修订案情事实，先记录建议，不直接覆盖原案情；4. 确保 9 行状态均为“已确认”；5. 保持 .xlsx 格式回传。</x:v>
      </x:c>
      <x:c r="G22" s="74" t="str">
        <x:v>1. 逐案核对“评审差异”页；2. 只在“共识填写”页黄色单元格作答；3. 若修订案情事实，先记录建议，不直接覆盖原案情；4. 确保 9 行状态均为“已确认”；5. 保持 .xlsx 格式回传。</x:v>
      </x:c>
      <x:c r="H22" s="75" t="str">
        <x:v>1. 逐案核对“评审差异”页；2. 只在“共识填写”页黄色单元格作答；3. 若修订案情事实，先记录建议，不直接覆盖原案情；4. 确保 9 行状态均为“已确认”；5. 保持 .xlsx 格式回传。</x:v>
      </x:c>
    </x:row>
    <x:row r="23" ht="34" customHeight="1">
      <x:c r="A23" s="76" t="str">
        <x:v>1. 逐案核对“评审差异”页；2. 只在“共识填写”页黄色单元格作答；3. 若修订案情事实，先记录建议，不直接覆盖原案情；4. 确保 9 行状态均为“已确认”；5. 保持 .xlsx 格式回传。</x:v>
      </x:c>
      <x:c r="B23" s="77" t="str">
        <x:v>1. 逐案核对“评审差异”页；2. 只在“共识填写”页黄色单元格作答；3. 若修订案情事实，先记录建议，不直接覆盖原案情；4. 确保 9 行状态均为“已确认”；5. 保持 .xlsx 格式回传。</x:v>
      </x:c>
      <x:c r="C23" s="77" t="str">
        <x:v>1. 逐案核对“评审差异”页；2. 只在“共识填写”页黄色单元格作答；3. 若修订案情事实，先记录建议，不直接覆盖原案情；4. 确保 9 行状态均为“已确认”；5. 保持 .xlsx 格式回传。</x:v>
      </x:c>
      <x:c r="D23" s="77" t="str">
        <x:v>1. 逐案核对“评审差异”页；2. 只在“共识填写”页黄色单元格作答；3. 若修订案情事实，先记录建议，不直接覆盖原案情；4. 确保 9 行状态均为“已确认”；5. 保持 .xlsx 格式回传。</x:v>
      </x:c>
      <x:c r="E23" s="77" t="str">
        <x:v>1. 逐案核对“评审差异”页；2. 只在“共识填写”页黄色单元格作答；3. 若修订案情事实，先记录建议，不直接覆盖原案情；4. 确保 9 行状态均为“已确认”；5. 保持 .xlsx 格式回传。</x:v>
      </x:c>
      <x:c r="F23" s="77" t="str">
        <x:v>1. 逐案核对“评审差异”页；2. 只在“共识填写”页黄色单元格作答；3. 若修订案情事实，先记录建议，不直接覆盖原案情；4. 确保 9 行状态均为“已确认”；5. 保持 .xlsx 格式回传。</x:v>
      </x:c>
      <x:c r="G23" s="77" t="str">
        <x:v>1. 逐案核对“评审差异”页；2. 只在“共识填写”页黄色单元格作答；3. 若修订案情事实，先记录建议，不直接覆盖原案情；4. 确保 9 行状态均为“已确认”；5. 保持 .xlsx 格式回传。</x:v>
      </x:c>
      <x:c r="H23" s="78" t="str">
        <x:v>1. 逐案核对“评审差异”页；2. 只在“共识填写”页黄色单元格作答；3. 若修订案情事实，先记录建议，不直接覆盖原案情；4. 确保 9 行状态均为“已确认”；5. 保持 .xlsx 格式回传。</x:v>
      </x:c>
    </x:row>
    <x:row r="24" ht="34" customHeight="1">
      <x:c r="A24" s="79" t="str">
        <x:v>1. 逐案核对“评审差异”页；2. 只在“共识填写”页黄色单元格作答；3. 若修订案情事实，先记录建议，不直接覆盖原案情；4. 确保 9 行状态均为“已确认”；5. 保持 .xlsx 格式回传。</x:v>
      </x:c>
      <x:c r="B24" s="80" t="str">
        <x:v>1. 逐案核对“评审差异”页；2. 只在“共识填写”页黄色单元格作答；3. 若修订案情事实，先记录建议，不直接覆盖原案情；4. 确保 9 行状态均为“已确认”；5. 保持 .xlsx 格式回传。</x:v>
      </x:c>
      <x:c r="C24" s="80" t="str">
        <x:v>1. 逐案核对“评审差异”页；2. 只在“共识填写”页黄色单元格作答；3. 若修订案情事实，先记录建议，不直接覆盖原案情；4. 确保 9 行状态均为“已确认”；5. 保持 .xlsx 格式回传。</x:v>
      </x:c>
      <x:c r="D24" s="80" t="str">
        <x:v>1. 逐案核对“评审差异”页；2. 只在“共识填写”页黄色单元格作答；3. 若修订案情事实，先记录建议，不直接覆盖原案情；4. 确保 9 行状态均为“已确认”；5. 保持 .xlsx 格式回传。</x:v>
      </x:c>
      <x:c r="E24" s="80" t="str">
        <x:v>1. 逐案核对“评审差异”页；2. 只在“共识填写”页黄色单元格作答；3. 若修订案情事实，先记录建议，不直接覆盖原案情；4. 确保 9 行状态均为“已确认”；5. 保持 .xlsx 格式回传。</x:v>
      </x:c>
      <x:c r="F24" s="80" t="str">
        <x:v>1. 逐案核对“评审差异”页；2. 只在“共识填写”页黄色单元格作答；3. 若修订案情事实，先记录建议，不直接覆盖原案情；4. 确保 9 行状态均为“已确认”；5. 保持 .xlsx 格式回传。</x:v>
      </x:c>
      <x:c r="G24" s="80" t="str">
        <x:v>1. 逐案核对“评审差异”页；2. 只在“共识填写”页黄色单元格作答；3. 若修订案情事实，先记录建议，不直接覆盖原案情；4. 确保 9 行状态均为“已确认”；5. 保持 .xlsx 格式回传。</x:v>
      </x:c>
      <x:c r="H24" s="81" t="str">
        <x:v>1. 逐案核对“评审差异”页；2. 只在“共识填写”页黄色单元格作答；3. 若修订案情事实，先记录建议，不直接覆盖原案情；4. 确保 9 行状态均为“已确认”；5. 保持 .xlsx 格式回传。</x:v>
      </x:c>
    </x:row>
  </x:sheetData>
  <x:mergeCells>
    <x:mergeCell ref="A1:H1"/>
    <x:mergeCell ref="A2:H2"/>
    <x:mergeCell ref="B4:H4"/>
    <x:mergeCell ref="B5:H5"/>
    <x:mergeCell ref="B6:H6"/>
    <x:mergeCell ref="B7:H7"/>
    <x:mergeCell ref="B8:H8"/>
    <x:mergeCell ref="B9:H9"/>
    <x:mergeCell ref="B10:H10"/>
    <x:mergeCell ref="B11:H11"/>
    <x:mergeCell ref="B12:H12"/>
    <x:mergeCell ref="B13:H13"/>
    <x:mergeCell ref="A15:H15"/>
    <x:mergeCell ref="B16:H16"/>
    <x:mergeCell ref="B17:H17"/>
    <x:mergeCell ref="B18:H18"/>
    <x:mergeCell ref="B19:H19"/>
    <x:mergeCell ref="A21:H21"/>
    <x:mergeCell ref="A22:H24"/>
  </x:mergeCells>
  <x:conditionalFormatting sqref="B13:B13">
    <x:cfRule type="containsText" dxfId="0" priority="1" operator="containsText" text="9 / 9"/>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28" hidden="0" customWidth="1"/>
    <x:col min="4" max="4" width="56" hidden="0" customWidth="1"/>
    <x:col min="5" max="5" width="30" hidden="0" customWidth="1"/>
    <x:col min="6" max="6" width="30" hidden="0" customWidth="1"/>
    <x:col min="7" max="7" width="18" hidden="0" customWidth="1"/>
    <x:col min="8" max="8" width="18" hidden="0" customWidth="1"/>
    <x:col min="9" max="9" width="20" hidden="0" customWidth="1"/>
    <x:col min="10" max="10" width="13" hidden="0" customWidth="1"/>
    <x:col min="11" max="11" width="13" hidden="0" customWidth="1"/>
    <x:col min="12" max="12" width="30" hidden="0" customWidth="1"/>
    <x:col min="13" max="13" width="30" hidden="0" customWidth="1"/>
    <x:col min="14" max="14" width="42" hidden="0" customWidth="1"/>
    <x:col min="15" max="15" width="24" hidden="0" customWidth="1"/>
    <x:col min="16" max="16" width="38" hidden="0" customWidth="1"/>
    <x:col min="17" max="17" width="44" hidden="0" customWidth="1"/>
    <x:col min="18" max="18" width="42" hidden="0" customWidth="1"/>
    <x:col min="19" max="19" width="42" hidden="0" customWidth="1"/>
    <x:col min="20" max="20" width="48" hidden="0" customWidth="1"/>
  </x:cols>
  <x:sheetData>
    <x:row r="1" ht="34" customHeight="1">
      <x:c r="A1" s="4" t="str">
        <x:v>PIL C2：两份独立评审的差异证据（只读）</x:v>
      </x:c>
      <x:c r="B1" s="4" t="str">
        <x:v>PIL C2：两份独立评审的差异证据（只读）</x:v>
      </x:c>
      <x:c r="C1" s="4" t="str">
        <x:v>PIL C2：两份独立评审的差异证据（只读）</x:v>
      </x:c>
      <x:c r="D1" s="4" t="str">
        <x:v>PIL C2：两份独立评审的差异证据（只读）</x:v>
      </x:c>
      <x:c r="E1" s="4" t="str">
        <x:v>PIL C2：两份独立评审的差异证据（只读）</x:v>
      </x:c>
      <x:c r="F1" s="4" t="str">
        <x:v>PIL C2：两份独立评审的差异证据（只读）</x:v>
      </x:c>
      <x:c r="G1" s="4" t="str">
        <x:v>PIL C2：两份独立评审的差异证据（只读）</x:v>
      </x:c>
      <x:c r="H1" s="4" t="str">
        <x:v>PIL C2：两份独立评审的差异证据（只读）</x:v>
      </x:c>
      <x:c r="I1" s="4" t="str">
        <x:v>PIL C2：两份独立评审的差异证据（只读）</x:v>
      </x:c>
      <x:c r="J1" s="4" t="str">
        <x:v>PIL C2：两份独立评审的差异证据（只读）</x:v>
      </x:c>
      <x:c r="K1" s="4" t="str">
        <x:v>PIL C2：两份独立评审的差异证据（只读）</x:v>
      </x:c>
      <x:c r="L1" s="4" t="str">
        <x:v>PIL C2：两份独立评审的差异证据（只读）</x:v>
      </x:c>
      <x:c r="M1" s="4" t="str">
        <x:v>PIL C2：两份独立评审的差异证据（只读）</x:v>
      </x:c>
      <x:c r="N1" s="4" t="str">
        <x:v>PIL C2：两份独立评审的差异证据（只读）</x:v>
      </x:c>
      <x:c r="O1" s="4" t="str">
        <x:v>PIL C2：两份独立评审的差异证据（只读）</x:v>
      </x:c>
      <x:c r="P1" s="4" t="str">
        <x:v>PIL C2：两份独立评审的差异证据（只读）</x:v>
      </x:c>
      <x:c r="Q1" s="4" t="str">
        <x:v>PIL C2：两份独立评审的差异证据（只读）</x:v>
      </x:c>
      <x:c r="R1" s="4" t="str">
        <x:v>PIL C2：两份独立评审的差异证据（只读）</x:v>
      </x:c>
      <x:c r="S1" s="4" t="str">
        <x:v>PIL C2：两份独立评审的差异证据（只读）</x:v>
      </x:c>
      <x:c r="T1" s="4" t="str">
        <x:v>PIL C2：两份独立评审的差异证据（只读）</x:v>
      </x:c>
    </x:row>
    <x:row r="2">
      <x:c r="A2" s="84" t="str">
        <x:v>R1/R2 均为匿名独立评审。这里只展示案情、两位评审的领域判断与权威法源，不展示旧 gold 或任何模型输出。</x:v>
      </x:c>
      <x:c r="B2" s="84" t="str">
        <x:v>R1/R2 均为匿名独立评审。这里只展示案情、两位评审的领域判断与权威法源，不展示旧 gold 或任何模型输出。</x:v>
      </x:c>
      <x:c r="C2" s="84" t="str">
        <x:v>R1/R2 均为匿名独立评审。这里只展示案情、两位评审的领域判断与权威法源，不展示旧 gold 或任何模型输出。</x:v>
      </x:c>
      <x:c r="D2" s="84" t="str">
        <x:v>R1/R2 均为匿名独立评审。这里只展示案情、两位评审的领域判断与权威法源，不展示旧 gold 或任何模型输出。</x:v>
      </x:c>
      <x:c r="E2" s="84" t="str">
        <x:v>R1/R2 均为匿名独立评审。这里只展示案情、两位评审的领域判断与权威法源，不展示旧 gold 或任何模型输出。</x:v>
      </x:c>
      <x:c r="F2" s="84" t="str">
        <x:v>R1/R2 均为匿名独立评审。这里只展示案情、两位评审的领域判断与权威法源，不展示旧 gold 或任何模型输出。</x:v>
      </x:c>
      <x:c r="G2" s="84" t="str">
        <x:v>R1/R2 均为匿名独立评审。这里只展示案情、两位评审的领域判断与权威法源，不展示旧 gold 或任何模型输出。</x:v>
      </x:c>
      <x:c r="H2" s="84" t="str">
        <x:v>R1/R2 均为匿名独立评审。这里只展示案情、两位评审的领域判断与权威法源，不展示旧 gold 或任何模型输出。</x:v>
      </x:c>
      <x:c r="I2" s="84" t="str">
        <x:v>R1/R2 均为匿名独立评审。这里只展示案情、两位评审的领域判断与权威法源，不展示旧 gold 或任何模型输出。</x:v>
      </x:c>
      <x:c r="J2" s="84" t="str">
        <x:v>R1/R2 均为匿名独立评审。这里只展示案情、两位评审的领域判断与权威法源，不展示旧 gold 或任何模型输出。</x:v>
      </x:c>
      <x:c r="K2" s="84" t="str">
        <x:v>R1/R2 均为匿名独立评审。这里只展示案情、两位评审的领域判断与权威法源，不展示旧 gold 或任何模型输出。</x:v>
      </x:c>
      <x:c r="L2" s="84" t="str">
        <x:v>R1/R2 均为匿名独立评审。这里只展示案情、两位评审的领域判断与权威法源，不展示旧 gold 或任何模型输出。</x:v>
      </x:c>
      <x:c r="M2" s="84" t="str">
        <x:v>R1/R2 均为匿名独立评审。这里只展示案情、两位评审的领域判断与权威法源，不展示旧 gold 或任何模型输出。</x:v>
      </x:c>
      <x:c r="N2" s="84" t="str">
        <x:v>R1/R2 均为匿名独立评审。这里只展示案情、两位评审的领域判断与权威法源，不展示旧 gold 或任何模型输出。</x:v>
      </x:c>
      <x:c r="O2" s="84" t="str">
        <x:v>R1/R2 均为匿名独立评审。这里只展示案情、两位评审的领域判断与权威法源，不展示旧 gold 或任何模型输出。</x:v>
      </x:c>
      <x:c r="P2" s="84" t="str">
        <x:v>R1/R2 均为匿名独立评审。这里只展示案情、两位评审的领域判断与权威法源，不展示旧 gold 或任何模型输出。</x:v>
      </x:c>
      <x:c r="Q2" s="84" t="str">
        <x:v>R1/R2 均为匿名独立评审。这里只展示案情、两位评审的领域判断与权威法源，不展示旧 gold 或任何模型输出。</x:v>
      </x:c>
      <x:c r="R2" s="84" t="str">
        <x:v>R1/R2 均为匿名独立评审。这里只展示案情、两位评审的领域判断与权威法源，不展示旧 gold 或任何模型输出。</x:v>
      </x:c>
      <x:c r="S2" s="84" t="str">
        <x:v>R1/R2 均为匿名独立评审。这里只展示案情、两位评审的领域判断与权威法源，不展示旧 gold 或任何模型输出。</x:v>
      </x:c>
      <x:c r="T2" s="84" t="str">
        <x:v>R1/R2 均为匿名独立评审。这里只展示案情、两位评审的领域判断与权威法源，不展示旧 gold 或任何模型输出。</x:v>
      </x:c>
    </x:row>
    <x:row r="5" ht="40" customHeight="1">
      <x:c r="A5" s="88" t="str">
        <x:v>共识序号</x:v>
      </x:c>
      <x:c r="B5" s="88" t="str">
        <x:v>共识编号</x:v>
      </x:c>
      <x:c r="C5" s="88" t="str">
        <x:v>进入原因</x:v>
      </x:c>
      <x:c r="D5" s="88" t="str">
        <x:v>案情事实</x:v>
      </x:c>
      <x:c r="E5" s="88" t="str">
        <x:v>R1 主要结论</x:v>
      </x:c>
      <x:c r="F5" s="88" t="str">
        <x:v>R2 主要结论</x:v>
      </x:c>
      <x:c r="G5" s="88" t="str">
        <x:v>R1 管辖类型</x:v>
      </x:c>
      <x:c r="H5" s="88" t="str">
        <x:v>R2 主要管辖类型</x:v>
      </x:c>
      <x:c r="I5" s="88" t="str">
        <x:v>R2 备选管辖类型</x:v>
      </x:c>
      <x:c r="J5" s="88" t="str">
        <x:v>R1 材料不足</x:v>
      </x:c>
      <x:c r="K5" s="88" t="str">
        <x:v>R2 材料不足</x:v>
      </x:c>
      <x:c r="L5" s="88" t="str">
        <x:v>R1 法律依据</x:v>
      </x:c>
      <x:c r="M5" s="88" t="str">
        <x:v>R2 法律依据</x:v>
      </x:c>
      <x:c r="N5" s="88" t="str">
        <x:v>R1 理由/备注</x:v>
      </x:c>
      <x:c r="O5" s="88" t="str">
        <x:v>R2 主要法院/法域</x:v>
      </x:c>
      <x:c r="P5" s="88" t="str">
        <x:v>R2 缺失事实/条件</x:v>
      </x:c>
      <x:c r="Q5" s="88" t="str">
        <x:v>R2 理由/备注</x:v>
      </x:c>
      <x:c r="R5" s="88" t="str">
        <x:v>R2 EUR-Lex 正文</x:v>
      </x:c>
      <x:c r="S5" s="88" t="str">
        <x:v>R2 判例/补充法源</x:v>
      </x:c>
      <x:c r="T5" s="88" t="str">
        <x:v>R2 法源复核说明</x:v>
      </x:c>
    </x:row>
    <x:row r="6" ht="112" customHeight="1">
      <x:c r="A6" s="134" t="n">
        <x:v>1</x:v>
      </x:c>
      <x:c r="B6" s="135" t="str">
        <x:v>C2-6F973FE217</x:v>
      </x:c>
      <x:c r="C6" s="135" t="str">
        <x:v>主要/备选管辖类型优先级不一致</x:v>
      </x:c>
      <x:c r="D6" s="122" t="str">
        <x:v>乙住所意大利；履行地亦在意大利；甲在法国起诉乙。</x:v>
      </x:c>
      <x:c r="E6" s="125" t="str">
        <x:v>Court_of_X_has_jurisdiction</x:v>
      </x:c>
      <x:c r="F6" s="125" t="str">
        <x:v>Court_of_X_has_jurisdiction</x:v>
      </x:c>
      <x:c r="G6" s="125" t="str">
        <x:v>special_or_general</x:v>
      </x:c>
      <x:c r="H6" s="125" t="str">
        <x:v>general</x:v>
      </x:c>
      <x:c r="I6" s="125" t="str">
        <x:v>special</x:v>
      </x:c>
      <x:c r="J6" s="125" t="str">
        <x:v>no</x:v>
      </x:c>
      <x:c r="K6" s="125" t="str">
        <x:v>no</x:v>
      </x:c>
      <x:c r="L6" s="125" t="str">
        <x:v>Arts. 4(1), 7(1)</x:v>
      </x:c>
      <x:c r="M6" s="125" t="str">
        <x:v>Art.4(1);Art.7(1)(a)</x:v>
      </x:c>
      <x:c r="N6" s="128" t="str">
        <x:v>被告住所和履行地均在意大利，意大利同时具一般及合同特别管辖；法国无已知连接点。</x:v>
      </x:c>
      <x:c r="O6" s="128" t="str">
        <x:v>意大利法院</x:v>
      </x:c>
      <x:c r="P6" s="128" t="str"/>
      <x:c r="Q6" s="128" t="str">
        <x:v>乙住所和履行地均在意大利，意大利至少有一般管辖，并可能兼有合同履行地特别管辖；法国无已知连接点。</x:v>
      </x:c>
      <x:c r="R6" s="128" t="str">
        <x:v>https://eur-lex.europa.eu/eli/reg/2012/1215/2015-02-26/eng</x:v>
      </x:c>
      <x:c r="S6" s="128" t="str"/>
      <x:c r="T6" s="129" t="str">
        <x:v>结论与所引条文总体匹配；已补 EUR-Lex 官方法规来源。</x:v>
      </x:c>
    </x:row>
    <x:row r="7" ht="112" customHeight="1">
      <x:c r="A7" s="136" t="n">
        <x:v>2</x:v>
      </x:c>
      <x:c r="B7" s="137" t="str">
        <x:v>C2-1E0BD448C5</x:v>
      </x:c>
      <x:c r="C7" s="137" t="str">
        <x:v>材料充分性判断不一致</x:v>
      </x:c>
      <x:c r="D7" s="123" t="str">
        <x:v>德国驾驶员乙在法国度假时因其疏忽撞伤法国行人甲；甲欲在法国起诉乙请求赔偿。</x:v>
      </x:c>
      <x:c r="E7" s="126" t="str">
        <x:v>Court_of_X_has_jurisdiction</x:v>
      </x:c>
      <x:c r="F7" s="126" t="str">
        <x:v>Court_of_X_has_jurisdiction</x:v>
      </x:c>
      <x:c r="G7" s="126" t="str">
        <x:v>special</x:v>
      </x:c>
      <x:c r="H7" s="126" t="str">
        <x:v>special</x:v>
      </x:c>
      <x:c r="I7" s="126" t="str">
        <x:v>general</x:v>
      </x:c>
      <x:c r="J7" s="126" t="str">
        <x:v>no</x:v>
      </x:c>
      <x:c r="K7" s="126" t="str">
        <x:v>yes</x:v>
      </x:c>
      <x:c r="L7" s="126" t="str">
        <x:v>Art. 7(2)</x:v>
      </x:c>
      <x:c r="M7" s="126" t="str">
        <x:v>Art.7(2);Art.4(1)</x:v>
      </x:c>
      <x:c r="N7" s="130" t="str">
        <x:v>损害事件发生在法国，法国法院有侵权特别管辖。</x:v>
      </x:c>
      <x:c r="O7" s="130" t="str">
        <x:v>法国法院</x:v>
      </x:c>
      <x:c r="P7" s="130" t="str">
        <x:v>须确认乙在一成员国有住所；“德国驾驶员”不应仅按国籍理解。</x:v>
      </x:c>
      <x:c r="Q7" s="130" t="str">
        <x:v>事故和直接损害均发生在法国，若乙在成员国有住所，法国法院依侵权特别管辖受理；德国住所地一般管辖可并存。</x:v>
      </x:c>
      <x:c r="R7" s="130" t="str">
        <x:v>https://eur-lex.europa.eu/eli/reg/2012/1215/2015-02-26/eng</x:v>
      </x:c>
      <x:c r="S7" s="130" t="str"/>
      <x:c r="T7" s="131" t="str">
        <x:v>关键连接点是住所（domicile）而非国籍；当前表内保留事实不足/条件式提示。</x:v>
      </x:c>
    </x:row>
    <x:row r="8" ht="112" customHeight="1">
      <x:c r="A8" s="136" t="n">
        <x:v>3</x:v>
      </x:c>
      <x:c r="B8" s="137" t="str">
        <x:v>C2-E0613A9BB2</x:v>
      </x:c>
      <x:c r="C8" s="137" t="str">
        <x:v>材料充分性判断不一致</x:v>
      </x:c>
      <x:c r="D8" s="123" t="str">
        <x:v>法国和意大利法院几乎同时收到同一当事人就同一合同提起的诉讼，法国法院早数小时登记立案。</x:v>
      </x:c>
      <x:c r="E8" s="126" t="str">
        <x:v>Stay_for_first_seised</x:v>
      </x:c>
      <x:c r="F8" s="126" t="str">
        <x:v>Stay_for_first_seised</x:v>
      </x:c>
      <x:c r="G8" s="126" t="str">
        <x:v>lis_pendens</x:v>
      </x:c>
      <x:c r="H8" s="126" t="str">
        <x:v>lis_pendens</x:v>
      </x:c>
      <x:c r="I8" s="126" t="str"/>
      <x:c r="J8" s="126" t="str">
        <x:v>no</x:v>
      </x:c>
      <x:c r="K8" s="126" t="str">
        <x:v>yes</x:v>
      </x:c>
      <x:c r="L8" s="126" t="str">
        <x:v>Arts. 29(1), 32(1)</x:v>
      </x:c>
      <x:c r="M8" s="126" t="str">
        <x:v>Art.29(1);Art.32(1)</x:v>
      </x:c>
      <x:c r="N8" s="130" t="str">
        <x:v>在起诉人已完成必要后续步骤的前提下，法国先受理，意大利后受理法院应中止。</x:v>
      </x:c>
      <x:c r="O8" s="130" t="str">
        <x:v>法国法院（条件性先受理）；意大利法院中止</x:v>
      </x:c>
      <x:c r="P8" s="130" t="str">
        <x:v>须确认法国较早的登记时间确实对应文书较早提交，并满足后续送达步骤。</x:v>
      </x:c>
      <x:c r="Q8" s="130" t="str">
        <x:v>Art.32 以提交或送达机关收件时点为准，而非抽象的“几乎同时”；若法国记录对应较早提交，意大利法院应中止。</x:v>
      </x:c>
      <x:c r="R8" s="130" t="str">
        <x:v>https://eur-lex.europa.eu/eli/reg/2012/1215/2015-02-26/eng</x:v>
      </x:c>
      <x:c r="S8" s="130" t="str"/>
      <x:c r="T8" s="131" t="str">
        <x:v>结论与所引条文总体匹配；已补 EUR-Lex 官方法规来源。</x:v>
      </x:c>
    </x:row>
    <x:row r="9" ht="112" customHeight="1">
      <x:c r="A9" s="136" t="n">
        <x:v>4</x:v>
      </x:c>
      <x:c r="B9" s="137" t="str">
        <x:v>C2-2428AB5B5D</x:v>
      </x:c>
      <x:c r="C9" s="137" t="str">
        <x:v>材料充分性判断不一致</x:v>
      </x:c>
      <x:c r="D9" s="123" t="str">
        <x:v>甲在葡萄牙法院起诉德国被告乙，案件与葡萄牙并无连接点；乙仅为提出管辖异议而出庭，未就实体进行答辩。</x:v>
      </x:c>
      <x:c r="E9" s="126" t="str">
        <x:v>Court_of_X_has_jurisdiction</x:v>
      </x:c>
      <x:c r="F9" s="126" t="str">
        <x:v>Court_of_X_has_jurisdiction</x:v>
      </x:c>
      <x:c r="G9" s="126" t="str">
        <x:v>general</x:v>
      </x:c>
      <x:c r="H9" s="126" t="str">
        <x:v>general</x:v>
      </x:c>
      <x:c r="I9" s="126" t="str"/>
      <x:c r="J9" s="126" t="str">
        <x:v>no</x:v>
      </x:c>
      <x:c r="K9" s="126" t="str">
        <x:v>yes</x:v>
      </x:c>
      <x:c r="L9" s="126" t="str">
        <x:v>Arts. 4(1), 26(1)</x:v>
      </x:c>
      <x:c r="M9" s="126" t="str">
        <x:v>Art.4(1);Art.26(1)</x:v>
      </x:c>
      <x:c r="N9" s="130" t="str">
        <x:v>仅为提出管辖异议而出庭不构成应诉管辖；在无其他连接点时应在德国被告住所地起诉。</x:v>
      </x:c>
      <x:c r="O9" s="130" t="str">
        <x:v>德国法院（以乙住所德国为条件）</x:v>
      </x:c>
      <x:c r="P9" s="130" t="str">
        <x:v>“德国被告”须指乙在德国有住所，而非仅具有德国国籍。</x:v>
      </x:c>
      <x:c r="Q9" s="130" t="str">
        <x:v>仅为管辖异议出庭不使葡萄牙法院取得应诉管辖；若乙住所确在德国，一般管辖属于德国法院。</x:v>
      </x:c>
      <x:c r="R9" s="130" t="str">
        <x:v>https://eur-lex.europa.eu/eli/reg/2012/1215/2015-02-26/eng</x:v>
      </x:c>
      <x:c r="S9" s="130" t="str"/>
      <x:c r="T9" s="131" t="str">
        <x:v>关键连接点是住所（domicile）而非国籍；当前表内保留事实不足/条件式提示。</x:v>
      </x:c>
    </x:row>
    <x:row r="10" ht="112" customHeight="1">
      <x:c r="A10" s="136" t="n">
        <x:v>5</x:v>
      </x:c>
      <x:c r="B10" s="137" t="str">
        <x:v>C2-1F99728919</x:v>
      </x:c>
      <x:c r="C10" s="137" t="str">
        <x:v>材料充分性判断不一致</x:v>
      </x:c>
      <x:c r="D10" s="123" t="str">
        <x:v>甲将乙起诉至西班牙，但无连接点；乙出庭实体答辩未抗辩管辖。</x:v>
      </x:c>
      <x:c r="E10" s="126" t="str">
        <x:v>Court_of_X_has_jurisdiction</x:v>
      </x:c>
      <x:c r="F10" s="126" t="str">
        <x:v>Court_of_X_has_jurisdiction</x:v>
      </x:c>
      <x:c r="G10" s="126" t="str">
        <x:v>appearance</x:v>
      </x:c>
      <x:c r="H10" s="126" t="str">
        <x:v>appearance</x:v>
      </x:c>
      <x:c r="I10" s="126" t="str"/>
      <x:c r="J10" s="126" t="str">
        <x:v>no</x:v>
      </x:c>
      <x:c r="K10" s="126" t="str">
        <x:v>yes</x:v>
      </x:c>
      <x:c r="L10" s="126" t="str">
        <x:v>Art. 26(1)</x:v>
      </x:c>
      <x:c r="M10" s="126" t="str">
        <x:v>Art.26(1)</x:v>
      </x:c>
      <x:c r="N10" s="130" t="str">
        <x:v>无 Art. 24 专属事项且被告就实体应诉未抗辩，西班牙法院依应诉取得管辖。</x:v>
      </x:c>
      <x:c r="O10" s="130" t="str">
        <x:v>西班牙法院</x:v>
      </x:c>
      <x:c r="P10" s="130" t="str">
        <x:v>以争议不属于 Art.24 专属管辖，且乙不是触发 Art.26(2) 特别告知保障的受保护被告为条件。</x:v>
      </x:c>
      <x:c r="Q10" s="130" t="str">
        <x:v>在普通民商事争议中，乙就实体答辩且未提出管辖异议，可使原无连接点的西班牙法院依应诉取得管辖。</x:v>
      </x:c>
      <x:c r="R10" s="130" t="str">
        <x:v>https://eur-lex.europa.eu/eli/reg/2012/1215/2015-02-26/eng</x:v>
      </x:c>
      <x:c r="S10" s="130" t="str"/>
      <x:c r="T10" s="131" t="str">
        <x:v>结论与所引条文总体匹配；已补 EUR-Lex 官方法规来源。</x:v>
      </x:c>
    </x:row>
    <x:row r="11" ht="112" customHeight="1">
      <x:c r="A11" s="136" t="n">
        <x:v>6</x:v>
      </x:c>
      <x:c r="B11" s="137" t="str">
        <x:v>C2-BE1C94E83E</x:v>
      </x:c>
      <x:c r="C11" s="137" t="str">
        <x:v>材料充分性判断不一致</x:v>
      </x:c>
      <x:c r="D11" s="123" t="str">
        <x:v>乙为德国国籍但长期居住在中国；甲（德国居民）拟在德国起诉乙。</x:v>
      </x:c>
      <x:c r="E11" s="126" t="str">
        <x:v>No_EU_jurisdiction_use_member_state_law</x:v>
      </x:c>
      <x:c r="F11" s="126" t="str">
        <x:v>No_EU_jurisdiction_use_member_state_law</x:v>
      </x:c>
      <x:c r="G11" s="126" t="str">
        <x:v>none</x:v>
      </x:c>
      <x:c r="H11" s="126" t="str">
        <x:v>none</x:v>
      </x:c>
      <x:c r="I11" s="126" t="str"/>
      <x:c r="J11" s="126" t="str">
        <x:v>no</x:v>
      </x:c>
      <x:c r="K11" s="126" t="str">
        <x:v>yes</x:v>
      </x:c>
      <x:c r="L11" s="126" t="str">
        <x:v>Arts. 6(1), 62</x:v>
      </x:c>
      <x:c r="M11" s="126" t="str">
        <x:v>Art.4(1);Art.6(1);Art.62(1)</x:v>
      </x:c>
      <x:c r="N11" s="130" t="str">
        <x:v>国籍不决定管辖；按长期居住中国且无成员国住所的事实，成员国法院原则上依本国法判断，但仍受条例所列例外约束。</x:v>
      </x:c>
      <x:c r="O11" s="130" t="str">
        <x:v>德国法院（依德国国内法判断）</x:v>
      </x:c>
      <x:c r="P11" s="130" t="str">
        <x:v>须依德国法确认乙在起诉时不再以德国为住所；德国国籍本身不构成 Art.4 住所。</x:v>
      </x:c>
      <x:c r="Q11" s="130" t="str">
        <x:v>若乙的法律住所确在中国，条例的一般管辖不适用，德国法院管辖转由德国国内法决定。</x:v>
      </x:c>
      <x:c r="R11" s="130" t="str">
        <x:v>https://eur-lex.europa.eu/eli/reg/2012/1215/2015-02-26/eng</x:v>
      </x:c>
      <x:c r="S11" s="130" t="str"/>
      <x:c r="T11" s="131" t="str">
        <x:v>关键连接点是住所（domicile）而非国籍；当前表内保留事实不足/条件式提示。</x:v>
      </x:c>
    </x:row>
    <x:row r="12" ht="112" customHeight="1">
      <x:c r="A12" s="136" t="n">
        <x:v>7</x:v>
      </x:c>
      <x:c r="B12" s="137" t="str">
        <x:v>C2-862B421FF2</x:v>
      </x:c>
      <x:c r="C12" s="137" t="str">
        <x:v>主要结论不一致；管辖类型集合不兼容；材料充分性判断不一致</x:v>
      </x:c>
      <x:c r="D12" s="123" t="str">
        <x:v>甲在瑞典注册一项欧盟商标；乙在德国起诉，请求宣告该商标注册无效。</x:v>
      </x:c>
      <x:c r="E12" s="126" t="str">
        <x:v>Abstain_Insufficient_Info</x:v>
      </x:c>
      <x:c r="F12" s="126" t="str">
        <x:v>Court_of_X_has_jurisdiction</x:v>
      </x:c>
      <x:c r="G12" s="126" t="str">
        <x:v>exclusive</x:v>
      </x:c>
      <x:c r="H12" s="126" t="str">
        <x:v>exclusive</x:v>
      </x:c>
      <x:c r="I12" s="126" t="str"/>
      <x:c r="J12" s="126" t="str">
        <x:v>yes</x:v>
      </x:c>
      <x:c r="K12" s="126" t="str">
        <x:v>no</x:v>
      </x:c>
      <x:c r="L12" s="126" t="str">
        <x:v>Reg. (EU) 2017/1001 Arts. 63, 123-125, 128; Brussels I Recast Art. 24(4)</x:v>
      </x:c>
      <x:c r="M12" s="126" t="str">
        <x:v>Regulation (EU) 2017/1001 Art.59-60;Art.63(1);Art.124(d);Art.128(1)</x:v>
      </x:c>
      <x:c r="N12" s="130" t="str">
        <x:v>欧盟商标由 EUIPO 统一注册，并非在瑞典注册；直接无效申请原则上向 EUIPO 提出，法院无效管辖通常体现为侵权诉讼中的反诉。现有表述不足以唯一确定程序与法院。</x:v>
      </x:c>
      <x:c r="O12" s="130" t="str">
        <x:v>欧盟知识产权局（EUIPO）</x:v>
      </x:c>
      <x:c r="P12" s="130" t="str"/>
      <x:c r="Q12" s="130" t="str">
        <x:v>对欧盟商标提出独立无效申请原则上应向 EUIPO 提交；欧盟商标法院对无效的专属权限在 Art.124(d)、Art.128 框架下表现为侵权诉讼中的无效反诉。现有标签没有“行政机关专属权限”，故以最接近标签映射。</x:v>
      </x:c>
      <x:c r="R12" s="130" t="str">
        <x:v>https://eur-lex.europa.eu/eli/reg/2017/1001/oj/eng</x:v>
      </x:c>
      <x:c r="S12" s="130" t="str"/>
      <x:c r="T12" s="131" t="str">
        <x:v>欧盟商标独立无效申请原则上向 EUIPO 提出；EU 商标法院的无效权限主要通过侵权诉讼中的反诉体现（EUTMR Arts.63, 124(d), 128）。</x:v>
      </x:c>
    </x:row>
    <x:row r="13" ht="112" customHeight="1">
      <x:c r="A13" s="136" t="n">
        <x:v>8</x:v>
      </x:c>
      <x:c r="B13" s="137" t="str">
        <x:v>C2-86BF6A1739</x:v>
      </x:c>
      <x:c r="C13" s="137" t="str">
        <x:v>主要/备选管辖类型优先级不一致</x:v>
      </x:c>
      <x:c r="D13" s="123" t="str">
        <x:v>法国消费者甲通过网络向荷兰商家乙订购家具，在预先勾选的条款中，甲以单独确认的方式接受了“阿姆斯特丹法院专属管辖”的条款；甲后来在阿姆斯特丹起诉乙要求履行。</x:v>
      </x:c>
      <x:c r="E13" s="126" t="str">
        <x:v>Court_of_X_has_jurisdiction</x:v>
      </x:c>
      <x:c r="F13" s="126" t="str">
        <x:v>Court_of_X_has_jurisdiction</x:v>
      </x:c>
      <x:c r="G13" s="126" t="str">
        <x:v>general</x:v>
      </x:c>
      <x:c r="H13" s="126" t="str">
        <x:v>special</x:v>
      </x:c>
      <x:c r="I13" s="126" t="str">
        <x:v>general</x:v>
      </x:c>
      <x:c r="J13" s="126" t="str">
        <x:v>no</x:v>
      </x:c>
      <x:c r="K13" s="126" t="str">
        <x:v>no</x:v>
      </x:c>
      <x:c r="L13" s="126" t="str">
        <x:v>Arts. 4(1), 18(1), 19</x:v>
      </x:c>
      <x:c r="M13" s="126" t="str">
        <x:v>Art.4(1);Art.18(1);Art.19;Art.25(4)</x:v>
      </x:c>
      <x:c r="N13" s="130" t="str">
        <x:v>阿姆斯特丹作为荷兰商家住所地本已有管辖；消费者主动在该地起诉，无须依赖预先订立的专属管辖条款。</x:v>
      </x:c>
      <x:c r="O13" s="130" t="str">
        <x:v>荷兰阿姆斯特丹法院</x:v>
      </x:c>
      <x:c r="P13" s="130" t="str"/>
      <x:c r="Q13" s="130" t="str">
        <x:v>消费者作为原告可在商家住所地荷兰起诉，且商家住所也支持一般管辖；诉前条款的单独确认只解决形式，不能绕过 Art.19 的消费者保护限制。</x:v>
      </x:c>
      <x:c r="R13" s="130" t="str">
        <x:v>https://eur-lex.europa.eu/eli/reg/2012/1215/2015-02-26/eng</x:v>
      </x:c>
      <x:c r="S13" s="130" t="str"/>
      <x:c r="T13" s="131" t="str">
        <x:v>结论与所引条文总体匹配；已补 EUR-Lex 官方法规来源。</x:v>
      </x:c>
    </x:row>
    <x:row r="14" ht="112" customHeight="1">
      <x:c r="A14" s="138" t="n">
        <x:v>9</x:v>
      </x:c>
      <x:c r="B14" s="139" t="str">
        <x:v>C2-724A72C398</x:v>
      </x:c>
      <x:c r="C14" s="139" t="str">
        <x:v>主要结论不一致；管辖类型集合不兼容</x:v>
      </x:c>
      <x:c r="D14" s="124" t="str">
        <x:v>意大利法院受理甲对乙的侵权之诉；随后法国法院受理同一投资项目下甲对丙的合同责任之诉，两案事实背景高度重合但请求不同。</x:v>
      </x:c>
      <x:c r="E14" s="127" t="str">
        <x:v>Abstain_Insufficient_Info</x:v>
      </x:c>
      <x:c r="F14" s="127" t="str">
        <x:v>Court_of_X_has_jurisdiction</x:v>
      </x:c>
      <x:c r="G14" s="127" t="str">
        <x:v>lis_pendens</x:v>
      </x:c>
      <x:c r="H14" s="127" t="str">
        <x:v>lis_pendens</x:v>
      </x:c>
      <x:c r="I14" s="127" t="str"/>
      <x:c r="J14" s="127" t="str">
        <x:v>yes</x:v>
      </x:c>
      <x:c r="K14" s="127" t="str">
        <x:v>yes</x:v>
      </x:c>
      <x:c r="L14" s="127" t="str">
        <x:v>Arts. 29-30</x:v>
      </x:c>
      <x:c r="M14" s="127" t="str">
        <x:v>Art.30(1);Art.30(3)</x:v>
      </x:c>
      <x:c r="N14" s="132" t="str">
        <x:v>当事人和请求不同，不触发 Art. 29 的强制中止；是否按关联诉讼酌情中止取决于不可调和裁判风险，且法国合同管辖基础未给出。</x:v>
      </x:c>
      <x:c r="O14" s="132" t="str">
        <x:v>意大利法院与法国法院（法国法院可酌情中止）</x:v>
      </x:c>
      <x:c r="P14" s="132" t="str">
        <x:v>须判断分案审理是否确有不可调和判决风险；中止属于法国后受理法院的裁量。</x:v>
      </x:c>
      <x:c r="Q14" s="132" t="str">
        <x:v>当事人和请求不同，Art.29 的强制中止不适用；高度重合事实最多构成 Art.30 相关诉讼。类型栏以 lis_pendens 作为现有原子标签中最接近者。</x:v>
      </x:c>
      <x:c r="R14" s="132" t="str">
        <x:v>https://eur-lex.europa.eu/eli/reg/2012/1215/2015-02-26/eng</x:v>
      </x:c>
      <x:c r="S14" s="132" t="str"/>
      <x:c r="T14" s="133" t="str">
        <x:v>Art.30 是相关诉讼的裁量中止/放弃，不等同 Art.29 的强制 lis pendens；类型栏受既有原子标签限制。</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28" hidden="0" customWidth="1"/>
    <x:col min="4" max="4" width="56" hidden="0" customWidth="1"/>
    <x:col min="5" max="5" width="32" hidden="0" customWidth="1"/>
    <x:col min="6" max="6" width="26" hidden="0" customWidth="1"/>
    <x:col min="7" max="7" width="19" hidden="0" customWidth="1"/>
    <x:col min="8" max="8" width="22" hidden="0" customWidth="1"/>
    <x:col min="9" max="9" width="14" hidden="0" customWidth="1"/>
    <x:col min="10" max="10" width="14" hidden="0" customWidth="1"/>
    <x:col min="11" max="11" width="32" hidden="0" customWidth="1"/>
    <x:col min="12" max="12" width="40" hidden="0" customWidth="1"/>
    <x:col min="13" max="13" width="13" hidden="0" customWidth="1"/>
    <x:col min="14" max="14" width="11" hidden="0" customWidth="1"/>
    <x:col min="15" max="15" width="18" hidden="0" customWidth="1"/>
    <x:col min="16" max="16" width="38" hidden="0" customWidth="1"/>
    <x:col min="17" max="17" width="46" hidden="0" customWidth="1"/>
    <x:col min="18" max="18" width="11" hidden="0" customWidth="1"/>
    <x:col min="19" max="19" width="11" hidden="0" customWidth="1"/>
    <x:col min="20" max="20" width="14" hidden="0" customWidth="1"/>
    <x:col min="21" max="21" width="22" hidden="0" customWidth="1"/>
    <x:col min="22" max="22" width="14" hidden="0" customWidth="1"/>
  </x:cols>
  <x:sheetData>
    <x:row r="1" ht="34" customHeight="1">
      <x:c r="A1" s="4" t="str">
        <x:v>PIL C2：共识填写（黄色单元格）</x:v>
      </x:c>
      <x:c r="B1" s="4" t="str">
        <x:v>PIL C2：共识填写（黄色单元格）</x:v>
      </x:c>
      <x:c r="C1" s="4" t="str">
        <x:v>PIL C2：共识填写（黄色单元格）</x:v>
      </x:c>
      <x:c r="D1" s="4" t="str">
        <x:v>PIL C2：共识填写（黄色单元格）</x:v>
      </x:c>
      <x:c r="E1" s="4" t="str">
        <x:v>PIL C2：共识填写（黄色单元格）</x:v>
      </x:c>
      <x:c r="F1" s="4" t="str">
        <x:v>PIL C2：共识填写（黄色单元格）</x:v>
      </x:c>
      <x:c r="G1" s="4" t="str">
        <x:v>PIL C2：共识填写（黄色单元格）</x:v>
      </x:c>
      <x:c r="H1" s="4" t="str">
        <x:v>PIL C2：共识填写（黄色单元格）</x:v>
      </x:c>
      <x:c r="I1" s="4" t="str">
        <x:v>PIL C2：共识填写（黄色单元格）</x:v>
      </x:c>
      <x:c r="J1" s="4" t="str">
        <x:v>PIL C2：共识填写（黄色单元格）</x:v>
      </x:c>
      <x:c r="K1" s="4" t="str">
        <x:v>PIL C2：共识填写（黄色单元格）</x:v>
      </x:c>
      <x:c r="L1" s="4" t="str">
        <x:v>PIL C2：共识填写（黄色单元格）</x:v>
      </x:c>
      <x:c r="M1" s="4" t="str">
        <x:v>PIL C2：共识填写（黄色单元格）</x:v>
      </x:c>
      <x:c r="N1" s="4" t="str">
        <x:v>PIL C2：共识填写（黄色单元格）</x:v>
      </x:c>
      <x:c r="O1" s="4" t="str">
        <x:v>PIL C2：共识填写（黄色单元格）</x:v>
      </x:c>
      <x:c r="P1" s="4" t="str">
        <x:v>PIL C2：共识填写（黄色单元格）</x:v>
      </x:c>
      <x:c r="Q1" s="4" t="str">
        <x:v>PIL C2：共识填写（黄色单元格）</x:v>
      </x:c>
      <x:c r="R1" s="4" t="str">
        <x:v>PIL C2：共识填写（黄色单元格）</x:v>
      </x:c>
      <x:c r="S1" s="4" t="str">
        <x:v>PIL C2：共识填写（黄色单元格）</x:v>
      </x:c>
      <x:c r="T1" s="4" t="str">
        <x:v>PIL C2：共识填写（黄色单元格）</x:v>
      </x:c>
      <x:c r="U1" s="4" t="str">
        <x:v>PIL C2：共识填写（黄色单元格）</x:v>
      </x:c>
      <x:c r="V1" s="4" t="str">
        <x:v>PIL C2：共识填写（黄色单元格）</x:v>
      </x:c>
    </x:row>
    <x:row r="2">
      <x:c r="A2" s="84" t="str">
        <x:v>请两位评审共同填写。若需要修改案情，只记录修订建议；不要覆盖 D 列原案情。两位均确认后，该行才显示“已确认”。</x:v>
      </x:c>
      <x:c r="B2" s="84" t="str">
        <x:v>请两位评审共同填写。若需要修改案情，只记录修订建议；不要覆盖 D 列原案情。两位均确认后，该行才显示“已确认”。</x:v>
      </x:c>
      <x:c r="C2" s="84" t="str">
        <x:v>请两位评审共同填写。若需要修改案情，只记录修订建议；不要覆盖 D 列原案情。两位均确认后，该行才显示“已确认”。</x:v>
      </x:c>
      <x:c r="D2" s="84" t="str">
        <x:v>请两位评审共同填写。若需要修改案情，只记录修订建议；不要覆盖 D 列原案情。两位均确认后，该行才显示“已确认”。</x:v>
      </x:c>
      <x:c r="E2" s="84" t="str">
        <x:v>请两位评审共同填写。若需要修改案情，只记录修订建议；不要覆盖 D 列原案情。两位均确认后，该行才显示“已确认”。</x:v>
      </x:c>
      <x:c r="F2" s="84" t="str">
        <x:v>请两位评审共同填写。若需要修改案情，只记录修订建议；不要覆盖 D 列原案情。两位均确认后，该行才显示“已确认”。</x:v>
      </x:c>
      <x:c r="G2" s="84" t="str">
        <x:v>请两位评审共同填写。若需要修改案情，只记录修订建议；不要覆盖 D 列原案情。两位均确认后，该行才显示“已确认”。</x:v>
      </x:c>
      <x:c r="H2" s="84" t="str">
        <x:v>请两位评审共同填写。若需要修改案情，只记录修订建议；不要覆盖 D 列原案情。两位均确认后，该行才显示“已确认”。</x:v>
      </x:c>
      <x:c r="I2" s="84" t="str">
        <x:v>请两位评审共同填写。若需要修改案情，只记录修订建议；不要覆盖 D 列原案情。两位均确认后，该行才显示“已确认”。</x:v>
      </x:c>
      <x:c r="J2" s="84" t="str">
        <x:v>请两位评审共同填写。若需要修改案情，只记录修订建议；不要覆盖 D 列原案情。两位均确认后，该行才显示“已确认”。</x:v>
      </x:c>
      <x:c r="K2" s="84" t="str">
        <x:v>请两位评审共同填写。若需要修改案情，只记录修订建议；不要覆盖 D 列原案情。两位均确认后，该行才显示“已确认”。</x:v>
      </x:c>
      <x:c r="L2" s="84" t="str">
        <x:v>请两位评审共同填写。若需要修改案情，只记录修订建议；不要覆盖 D 列原案情。两位均确认后，该行才显示“已确认”。</x:v>
      </x:c>
      <x:c r="M2" s="84" t="str">
        <x:v>请两位评审共同填写。若需要修改案情，只记录修订建议；不要覆盖 D 列原案情。两位均确认后，该行才显示“已确认”。</x:v>
      </x:c>
      <x:c r="N2" s="84" t="str">
        <x:v>请两位评审共同填写。若需要修改案情，只记录修订建议；不要覆盖 D 列原案情。两位均确认后，该行才显示“已确认”。</x:v>
      </x:c>
      <x:c r="O2" s="84" t="str">
        <x:v>请两位评审共同填写。若需要修改案情，只记录修订建议；不要覆盖 D 列原案情。两位均确认后，该行才显示“已确认”。</x:v>
      </x:c>
      <x:c r="P2" s="84" t="str">
        <x:v>请两位评审共同填写。若需要修改案情，只记录修订建议；不要覆盖 D 列原案情。两位均确认后，该行才显示“已确认”。</x:v>
      </x:c>
      <x:c r="Q2" s="84" t="str">
        <x:v>请两位评审共同填写。若需要修改案情，只记录修订建议；不要覆盖 D 列原案情。两位均确认后，该行才显示“已确认”。</x:v>
      </x:c>
      <x:c r="R2" s="84" t="str">
        <x:v>请两位评审共同填写。若需要修改案情，只记录修订建议；不要覆盖 D 列原案情。两位均确认后，该行才显示“已确认”。</x:v>
      </x:c>
      <x:c r="S2" s="84" t="str">
        <x:v>请两位评审共同填写。若需要修改案情，只记录修订建议；不要覆盖 D 列原案情。两位均确认后，该行才显示“已确认”。</x:v>
      </x:c>
      <x:c r="T2" s="84" t="str">
        <x:v>请两位评审共同填写。若需要修改案情，只记录修订建议；不要覆盖 D 列原案情。两位均确认后，该行才显示“已确认”。</x:v>
      </x:c>
      <x:c r="U2" s="84" t="str">
        <x:v>请两位评审共同填写。若需要修改案情，只记录修订建议；不要覆盖 D 列原案情。两位均确认后，该行才显示“已确认”。</x:v>
      </x:c>
      <x:c r="V2" s="84" t="str">
        <x:v>请两位评审共同填写。若需要修改案情，只记录修订建议；不要覆盖 D 列原案情。两位均确认后，该行才显示“已确认”。</x:v>
      </x:c>
    </x:row>
    <x:row r="5" ht="40" customHeight="1">
      <x:c r="A5" s="88" t="str">
        <x:v>共识序号</x:v>
      </x:c>
      <x:c r="B5" s="88" t="str">
        <x:v>共识编号</x:v>
      </x:c>
      <x:c r="C5" s="88" t="str">
        <x:v>进入原因</x:v>
      </x:c>
      <x:c r="D5" s="88" t="str">
        <x:v>案情事实</x:v>
      </x:c>
      <x:c r="E5" s="88" t="str">
        <x:v>共识主要结论</x:v>
      </x:c>
      <x:c r="F5" s="88" t="str">
        <x:v>共识主要法院/法域</x:v>
      </x:c>
      <x:c r="G5" s="88" t="str">
        <x:v>共识主要管辖类型</x:v>
      </x:c>
      <x:c r="H5" s="88" t="str">
        <x:v>共识备选管辖类型</x:v>
      </x:c>
      <x:c r="I5" s="88" t="str">
        <x:v>材料是否不足</x:v>
      </x:c>
      <x:c r="J5" s="88" t="str">
        <x:v>是否条件式回答</x:v>
      </x:c>
      <x:c r="K5" s="88" t="str">
        <x:v>法律依据</x:v>
      </x:c>
      <x:c r="L5" s="88" t="str">
        <x:v>缺失事实/条件</x:v>
      </x:c>
      <x:c r="M5" s="88" t="str">
        <x:v>歧义程度</x:v>
      </x:c>
      <x:c r="N5" s="88" t="str">
        <x:v>信心(1-5)</x:v>
      </x:c>
      <x:c r="O5" s="88" t="str">
        <x:v>是否需修订案情事实</x:v>
      </x:c>
      <x:c r="P5" s="88" t="str">
        <x:v>案情事实修订建议</x:v>
      </x:c>
      <x:c r="Q5" s="88" t="str">
        <x:v>共识理由</x:v>
      </x:c>
      <x:c r="R5" s="88" t="str">
        <x:v>R1 确认</x:v>
      </x:c>
      <x:c r="S5" s="88" t="str">
        <x:v>R2 确认</x:v>
      </x:c>
      <x:c r="T5" s="88" t="str">
        <x:v>确认日期</x:v>
      </x:c>
      <x:c r="U5" s="88" t="str">
        <x:v>一致性检查</x:v>
      </x:c>
      <x:c r="V5" s="88" t="str">
        <x:v>完成状态</x:v>
      </x:c>
    </x:row>
    <x:row r="6" ht="110" customHeight="1">
      <x:c r="A6" s="149" t="n">
        <x:f>'评审差异'!A6</x:f>
        <x:v>1</x:v>
      </x:c>
      <x:c r="B6" s="150" t="str">
        <x:f>'评审差异'!B6</x:f>
        <x:v>C2-6F973FE217</x:v>
      </x:c>
      <x:c r="C6" s="150" t="str">
        <x:f>'评审差异'!C6</x:f>
        <x:v>主要/备选管辖类型优先级不一致</x:v>
      </x:c>
      <x:c r="D6" s="122" t="str">
        <x:f>'评审差异'!D6</x:f>
        <x:v>乙住所意大利；履行地亦在意大利；甲在法国起诉乙。</x:v>
      </x:c>
      <x:c r="E6" s="143" t="str">
        <x:v>Court_of_X_has_jurisdiction</x:v>
      </x:c>
      <x:c r="F6" s="143" t="str">
        <x:v>意大利法院</x:v>
      </x:c>
      <x:c r="G6" s="143" t="str">
        <x:v>general</x:v>
      </x:c>
      <x:c r="H6" s="143" t="str">
        <x:v>special</x:v>
      </x:c>
      <x:c r="I6" s="143" t="str">
        <x:v>no</x:v>
      </x:c>
      <x:c r="J6" s="143" t="str">
        <x:v>no</x:v>
      </x:c>
      <x:c r="K6" s="143" t="str">
        <x:v>Regulation (EU) No 1215/2012 Art.4(1); Art.7(1)(a). EUR-Lex: https://eur-lex.europa.eu/eli/reg/2012/1215/2015-02-26/eng</x:v>
      </x:c>
      <x:c r="L6" s="143"/>
      <x:c r="M6" s="143" t="str">
        <x:v>low</x:v>
      </x:c>
      <x:c r="N6" s="143" t="n">
        <x:v>5</x:v>
      </x:c>
      <x:c r="O6" s="143" t="str">
        <x:v>no</x:v>
      </x:c>
      <x:c r="P6" s="143"/>
      <x:c r="Q6" s="143" t="str">
        <x:v>乙住所与合同履行地均在意大利，Art.4(1) 的一般管辖和 Art.7(1)(a) 的合同特别管辖均指向意大利。双方以一般管辖为主要类型、合同特别管辖为备选；法国无已知连接点。</x:v>
      </x:c>
      <x:c r="R6" s="155" t="str">
        <x:v>yes</x:v>
      </x:c>
      <x:c r="S6" s="155" t="str">
        <x:v>yes</x:v>
      </x:c>
      <x:c r="T6" s="158" t="n">
        <x:v>46269</x:v>
      </x:c>
      <x:c r="U6" s="117" t="str">
        <x:f>IF(E6="","待填写",IF(ISNUMBER(SEARCH("special_or_general",H6)),"备选类型含禁用标签",IF(E6="Abstain_Insufficient_Info",IF(AND(F6="none",G6="none",I6="yes",L6&lt;&gt;""),"通过","弃答字段不一致"),IF(E6="No_EU_jurisdiction_use_member_state_law",IF(AND(F6&lt;&gt;"",G6="none",I6&lt;&gt;"",J6&lt;&gt;"",K6&lt;&gt;"",M6&lt;&gt;"",N6&gt;=1,N6&lt;=5),"通过","No_EU 字段不完整"),IF(AND(F6&lt;&gt;"",G6&lt;&gt;"",G6&lt;&gt;"none",I6&lt;&gt;"",J6&lt;&gt;"",K6&lt;&gt;"",M6&lt;&gt;"",N6&gt;=1,N6&lt;=5,OR(O6="no",AND(O6="yes",P6&lt;&gt;""))),"通过","非弃答字段不完整")))))</x:f>
        <x:v>通过</x:v>
      </x:c>
      <x:c r="V6" s="146" t="str">
        <x:f>IF(AND(U6="通过",R6="yes",S6="yes",T6&lt;&gt;""),"已确认","待完成")</x:f>
        <x:v>已确认</x:v>
      </x:c>
    </x:row>
    <x:row r="7" ht="110" customHeight="1">
      <x:c r="A7" s="151" t="n">
        <x:f>'评审差异'!A7</x:f>
        <x:v>2</x:v>
      </x:c>
      <x:c r="B7" s="152" t="str">
        <x:f>'评审差异'!B7</x:f>
        <x:v>C2-1E0BD448C5</x:v>
      </x:c>
      <x:c r="C7" s="152" t="str">
        <x:f>'评审差异'!C7</x:f>
        <x:v>材料充分性判断不一致</x:v>
      </x:c>
      <x:c r="D7" s="123" t="str">
        <x:f>'评审差异'!D7</x:f>
        <x:v>德国驾驶员乙在法国度假时因其疏忽撞伤法国行人甲；甲欲在法国起诉乙请求赔偿。</x:v>
      </x:c>
      <x:c r="E7" s="144" t="str">
        <x:v>Abstain_Insufficient_Info</x:v>
      </x:c>
      <x:c r="F7" s="144" t="str">
        <x:v>none</x:v>
      </x:c>
      <x:c r="G7" s="144" t="str">
        <x:v>none</x:v>
      </x:c>
      <x:c r="H7" s="144"/>
      <x:c r="I7" s="144" t="str">
        <x:v>yes</x:v>
      </x:c>
      <x:c r="J7" s="144" t="str">
        <x:v>yes</x:v>
      </x:c>
      <x:c r="K7" s="144" t="str">
        <x:v>Regulation (EU) No 1215/2012 Art.5(1); Art.7(2); Art.6(1). EUR-Lex: https://eur-lex.europa.eu/eli/reg/2012/1215/2015-02-26/eng</x:v>
      </x:c>
      <x:c r="L7" s="144" t="str">
        <x:v>须确认乙在欧盟成员国具有住所；“德国驾驶员”不能可靠等同于住所位于德国。修订后，如乙住所位于德国，法国事故地可依 Art.7(2) 行使侵权特别管辖。</x:v>
      </x:c>
      <x:c r="M7" s="144" t="str">
        <x:v>medium</x:v>
      </x:c>
      <x:c r="N7" s="144" t="n">
        <x:v>4</x:v>
      </x:c>
      <x:c r="O7" s="144" t="str">
        <x:v>yes</x:v>
      </x:c>
      <x:c r="P7" s="144" t="str">
        <x:v>将“德国驾驶员乙”改为“住所位于德国的驾驶员乙”；如仅指德国国籍，则不能直接适用 Art.7(2)。</x:v>
      </x:c>
      <x:c r="Q7" s="144" t="str">
        <x:v>Art.7 的适用以被告在成员国有住所为前提；题干仅称“德国驾驶员”，不足以确定该住所连接点。依共识说明的严格材料口径，现阶段弃答，并在明确德国住所后重新确认法国法院的侵权特别管辖。</x:v>
      </x:c>
      <x:c r="R7" s="156" t="str">
        <x:v>yes</x:v>
      </x:c>
      <x:c r="S7" s="156" t="str">
        <x:v>yes</x:v>
      </x:c>
      <x:c r="T7" s="159" t="n">
        <x:v>46269</x:v>
      </x:c>
      <x:c r="U7" s="119" t="str">
        <x:f>IF(E7="","待填写",IF(ISNUMBER(SEARCH("special_or_general",H7)),"备选类型含禁用标签",IF(E7="Abstain_Insufficient_Info",IF(AND(F7="none",G7="none",I7="yes",L7&lt;&gt;""),"通过","弃答字段不一致"),IF(E7="No_EU_jurisdiction_use_member_state_law",IF(AND(F7&lt;&gt;"",G7="none",I7&lt;&gt;"",J7&lt;&gt;"",K7&lt;&gt;"",M7&lt;&gt;"",N7&gt;=1,N7&lt;=5),"通过","No_EU 字段不完整"),IF(AND(F7&lt;&gt;"",G7&lt;&gt;"",G7&lt;&gt;"none",I7&lt;&gt;"",J7&lt;&gt;"",K7&lt;&gt;"",M7&lt;&gt;"",N7&gt;=1,N7&lt;=5,OR(O7="no",AND(O7="yes",P7&lt;&gt;""))),"通过","非弃答字段不完整")))))</x:f>
        <x:v>通过</x:v>
      </x:c>
      <x:c r="V7" s="147" t="str">
        <x:f>IF(AND(U7="通过",R7="yes",S7="yes",T7&lt;&gt;""),"已确认","待完成")</x:f>
        <x:v>已确认</x:v>
      </x:c>
    </x:row>
    <x:row r="8" ht="110" customHeight="1">
      <x:c r="A8" s="151" t="n">
        <x:f>'评审差异'!A8</x:f>
        <x:v>3</x:v>
      </x:c>
      <x:c r="B8" s="152" t="str">
        <x:f>'评审差异'!B8</x:f>
        <x:v>C2-E0613A9BB2</x:v>
      </x:c>
      <x:c r="C8" s="152" t="str">
        <x:f>'评审差异'!C8</x:f>
        <x:v>材料充分性判断不一致</x:v>
      </x:c>
      <x:c r="D8" s="123" t="str">
        <x:f>'评审差异'!D8</x:f>
        <x:v>法国和意大利法院几乎同时收到同一当事人就同一合同提起的诉讼，法国法院早数小时登记立案。</x:v>
      </x:c>
      <x:c r="E8" s="144" t="str">
        <x:v>Stay_for_first_seised</x:v>
      </x:c>
      <x:c r="F8" s="144" t="str">
        <x:v>法国法院为先受理法院；意大利法院中止</x:v>
      </x:c>
      <x:c r="G8" s="144" t="str">
        <x:v>lis_pendens</x:v>
      </x:c>
      <x:c r="H8" s="144"/>
      <x:c r="I8" s="144" t="str">
        <x:v>no</x:v>
      </x:c>
      <x:c r="J8" s="144" t="str">
        <x:v>yes</x:v>
      </x:c>
      <x:c r="K8" s="144" t="str">
        <x:v>Regulation (EU) No 1215/2012 Art.29(1); Art.29(3); Art.32(1). EUR-Lex: https://eur-lex.europa.eu/eli/reg/2012/1215/2015-02-26/eng</x:v>
      </x:c>
      <x:c r="L8" s="144" t="str">
        <x:v>法国较早登记须对应 Art.32(1) 的文书提交或送达机关收件时间，且原告随后未怠于完成必要送达或提交步骤。</x:v>
      </x:c>
      <x:c r="M8" s="144" t="str">
        <x:v>medium</x:v>
      </x:c>
      <x:c r="N8" s="144" t="n">
        <x:v>4</x:v>
      </x:c>
      <x:c r="O8" s="144" t="str">
        <x:v>no</x:v>
      </x:c>
      <x:c r="P8" s="144"/>
      <x:c r="Q8" s="144" t="str">
        <x:v>两案涉及同一当事人和同一诉因；以法国法院按 Art.32(1) 较早受理且原告完成必要后续步骤为条件，意大利后受理法院应依 Art.29(1) 中止，并在法国法院管辖权确立后依 Art.29(3) 拒绝管辖。</x:v>
      </x:c>
      <x:c r="R8" s="156" t="str">
        <x:v>yes</x:v>
      </x:c>
      <x:c r="S8" s="156" t="str">
        <x:v>yes</x:v>
      </x:c>
      <x:c r="T8" s="159" t="n">
        <x:v>46269</x:v>
      </x:c>
      <x:c r="U8" s="119" t="str">
        <x:f>IF(E8="","待填写",IF(ISNUMBER(SEARCH("special_or_general",H8)),"备选类型含禁用标签",IF(E8="Abstain_Insufficient_Info",IF(AND(F8="none",G8="none",I8="yes",L8&lt;&gt;""),"通过","弃答字段不一致"),IF(E8="No_EU_jurisdiction_use_member_state_law",IF(AND(F8&lt;&gt;"",G8="none",I8&lt;&gt;"",J8&lt;&gt;"",K8&lt;&gt;"",M8&lt;&gt;"",N8&gt;=1,N8&lt;=5),"通过","No_EU 字段不完整"),IF(AND(F8&lt;&gt;"",G8&lt;&gt;"",G8&lt;&gt;"none",I8&lt;&gt;"",J8&lt;&gt;"",K8&lt;&gt;"",M8&lt;&gt;"",N8&gt;=1,N8&lt;=5,OR(O8="no",AND(O8="yes",P8&lt;&gt;""))),"通过","非弃答字段不完整")))))</x:f>
        <x:v>通过</x:v>
      </x:c>
      <x:c r="V8" s="147" t="str">
        <x:f>IF(AND(U8="通过",R8="yes",S8="yes",T8&lt;&gt;""),"已确认","待完成")</x:f>
        <x:v>已确认</x:v>
      </x:c>
    </x:row>
    <x:row r="9" ht="110" customHeight="1">
      <x:c r="A9" s="151" t="n">
        <x:f>'评审差异'!A9</x:f>
        <x:v>4</x:v>
      </x:c>
      <x:c r="B9" s="152" t="str">
        <x:f>'评审差异'!B9</x:f>
        <x:v>C2-2428AB5B5D</x:v>
      </x:c>
      <x:c r="C9" s="152" t="str">
        <x:f>'评审差异'!C9</x:f>
        <x:v>材料充分性判断不一致</x:v>
      </x:c>
      <x:c r="D9" s="123" t="str">
        <x:f>'评审差异'!D9</x:f>
        <x:v>甲在葡萄牙法院起诉德国被告乙，案件与葡萄牙并无连接点；乙仅为提出管辖异议而出庭，未就实体进行答辩。</x:v>
      </x:c>
      <x:c r="E9" s="144" t="str">
        <x:v>Abstain_Insufficient_Info</x:v>
      </x:c>
      <x:c r="F9" s="144" t="str">
        <x:v>none</x:v>
      </x:c>
      <x:c r="G9" s="144" t="str">
        <x:v>none</x:v>
      </x:c>
      <x:c r="H9" s="144"/>
      <x:c r="I9" s="144" t="str">
        <x:v>yes</x:v>
      </x:c>
      <x:c r="J9" s="144" t="str">
        <x:v>yes</x:v>
      </x:c>
      <x:c r="K9" s="144" t="str">
        <x:v>Regulation (EU) No 1215/2012 Art.4(1); Art.26(1); Art.62(1). EUR-Lex: https://eur-lex.europa.eu/eli/reg/2012/1215/2015-02-26/eng</x:v>
      </x:c>
      <x:c r="L9" s="144" t="str">
        <x:v>须确认乙在德国具有本条例意义上的住所；“德国被告”不能可靠等同于住所位于德国。</x:v>
      </x:c>
      <x:c r="M9" s="144" t="str">
        <x:v>medium</x:v>
      </x:c>
      <x:c r="N9" s="144" t="n">
        <x:v>4</x:v>
      </x:c>
      <x:c r="O9" s="144" t="str">
        <x:v>yes</x:v>
      </x:c>
      <x:c r="P9" s="144" t="str">
        <x:v>将“德国被告乙”改为“住所位于德国的被告乙”。</x:v>
      </x:c>
      <x:c r="Q9" s="144" t="str">
        <x:v>乙仅为提出管辖异议而出庭，依 Art.26(1) 不构成葡萄牙法院的应诉管辖；但要进一步确定德国法院依 Art.4(1) 具有一般管辖，必须明确乙的德国住所。依严格材料口径，现阶段弃答并建议修订事实。</x:v>
      </x:c>
      <x:c r="R9" s="156" t="str">
        <x:v>yes</x:v>
      </x:c>
      <x:c r="S9" s="156" t="str">
        <x:v>yes</x:v>
      </x:c>
      <x:c r="T9" s="159" t="n">
        <x:v>46269</x:v>
      </x:c>
      <x:c r="U9" s="119" t="str">
        <x:f>IF(E9="","待填写",IF(ISNUMBER(SEARCH("special_or_general",H9)),"备选类型含禁用标签",IF(E9="Abstain_Insufficient_Info",IF(AND(F9="none",G9="none",I9="yes",L9&lt;&gt;""),"通过","弃答字段不一致"),IF(E9="No_EU_jurisdiction_use_member_state_law",IF(AND(F9&lt;&gt;"",G9="none",I9&lt;&gt;"",J9&lt;&gt;"",K9&lt;&gt;"",M9&lt;&gt;"",N9&gt;=1,N9&lt;=5),"通过","No_EU 字段不完整"),IF(AND(F9&lt;&gt;"",G9&lt;&gt;"",G9&lt;&gt;"none",I9&lt;&gt;"",J9&lt;&gt;"",K9&lt;&gt;"",M9&lt;&gt;"",N9&gt;=1,N9&lt;=5,OR(O9="no",AND(O9="yes",P9&lt;&gt;""))),"通过","非弃答字段不完整")))))</x:f>
        <x:v>通过</x:v>
      </x:c>
      <x:c r="V9" s="147" t="str">
        <x:f>IF(AND(U9="通过",R9="yes",S9="yes",T9&lt;&gt;""),"已确认","待完成")</x:f>
        <x:v>已确认</x:v>
      </x:c>
    </x:row>
    <x:row r="10" ht="110" customHeight="1">
      <x:c r="A10" s="151" t="n">
        <x:f>'评审差异'!A10</x:f>
        <x:v>5</x:v>
      </x:c>
      <x:c r="B10" s="152" t="str">
        <x:f>'评审差异'!B10</x:f>
        <x:v>C2-1F99728919</x:v>
      </x:c>
      <x:c r="C10" s="152" t="str">
        <x:f>'评审差异'!C10</x:f>
        <x:v>材料充分性判断不一致</x:v>
      </x:c>
      <x:c r="D10" s="123" t="str">
        <x:f>'评审差异'!D10</x:f>
        <x:v>甲将乙起诉至西班牙，但无连接点；乙出庭实体答辩未抗辩管辖。</x:v>
      </x:c>
      <x:c r="E10" s="144" t="str">
        <x:v>Court_of_X_has_jurisdiction</x:v>
      </x:c>
      <x:c r="F10" s="144" t="str">
        <x:v>西班牙法院</x:v>
      </x:c>
      <x:c r="G10" s="144" t="str">
        <x:v>appearance</x:v>
      </x:c>
      <x:c r="H10" s="144"/>
      <x:c r="I10" s="144" t="str">
        <x:v>no</x:v>
      </x:c>
      <x:c r="J10" s="144" t="str">
        <x:v>yes</x:v>
      </x:c>
      <x:c r="K10" s="144" t="str">
        <x:v>Regulation (EU) No 1215/2012 Art.26(1); Art.26(2); Art.24. EUR-Lex: https://eur-lex.europa.eu/eli/reg/2012/1215/2015-02-26/eng</x:v>
      </x:c>
      <x:c r="L10" s="144" t="str">
        <x:v>以争议不属于 Art.24 专属管辖，且乙不属于需适用 Art.26(2) 特别告知保障的受保护被告为条件。</x:v>
      </x:c>
      <x:c r="M10" s="144" t="str">
        <x:v>medium</x:v>
      </x:c>
      <x:c r="N10" s="144" t="n">
        <x:v>4</x:v>
      </x:c>
      <x:c r="O10" s="144" t="str">
        <x:v>no</x:v>
      </x:c>
      <x:c r="P10" s="144"/>
      <x:c r="Q10" s="144" t="str">
        <x:v>在普通民商事案件中，乙就实体答辩且未抗辩管辖，西班牙法院可依 Art.26(1) 取得应诉管辖。Art.24 专属管辖与 Art.26(2) 的弱势方告知保障作为例外条件记录，不因此认定材料不足。</x:v>
      </x:c>
      <x:c r="R10" s="156" t="str">
        <x:v>yes</x:v>
      </x:c>
      <x:c r="S10" s="156" t="str">
        <x:v>yes</x:v>
      </x:c>
      <x:c r="T10" s="159" t="n">
        <x:v>46269</x:v>
      </x:c>
      <x:c r="U10" s="119" t="str">
        <x:f>IF(E10="","待填写",IF(ISNUMBER(SEARCH("special_or_general",H10)),"备选类型含禁用标签",IF(E10="Abstain_Insufficient_Info",IF(AND(F10="none",G10="none",I10="yes",L10&lt;&gt;""),"通过","弃答字段不一致"),IF(E10="No_EU_jurisdiction_use_member_state_law",IF(AND(F10&lt;&gt;"",G10="none",I10&lt;&gt;"",J10&lt;&gt;"",K10&lt;&gt;"",M10&lt;&gt;"",N10&gt;=1,N10&lt;=5),"通过","No_EU 字段不完整"),IF(AND(F10&lt;&gt;"",G10&lt;&gt;"",G10&lt;&gt;"none",I10&lt;&gt;"",J10&lt;&gt;"",K10&lt;&gt;"",M10&lt;&gt;"",N10&gt;=1,N10&lt;=5,OR(O10="no",AND(O10="yes",P10&lt;&gt;""))),"通过","非弃答字段不完整")))))</x:f>
        <x:v>通过</x:v>
      </x:c>
      <x:c r="V10" s="147" t="str">
        <x:f>IF(AND(U10="通过",R10="yes",S10="yes",T10&lt;&gt;""),"已确认","待完成")</x:f>
        <x:v>已确认</x:v>
      </x:c>
    </x:row>
    <x:row r="11" ht="110" customHeight="1">
      <x:c r="A11" s="151" t="n">
        <x:f>'评审差异'!A11</x:f>
        <x:v>6</x:v>
      </x:c>
      <x:c r="B11" s="152" t="str">
        <x:f>'评审差异'!B11</x:f>
        <x:v>C2-BE1C94E83E</x:v>
      </x:c>
      <x:c r="C11" s="152" t="str">
        <x:f>'评审差异'!C11</x:f>
        <x:v>材料充分性判断不一致</x:v>
      </x:c>
      <x:c r="D11" s="123" t="str">
        <x:f>'评审差异'!D11</x:f>
        <x:v>乙为德国国籍但长期居住在中国；甲（德国居民）拟在德国起诉乙。</x:v>
      </x:c>
      <x:c r="E11" s="144" t="str">
        <x:v>Abstain_Insufficient_Info</x:v>
      </x:c>
      <x:c r="F11" s="144" t="str">
        <x:v>none</x:v>
      </x:c>
      <x:c r="G11" s="144" t="str">
        <x:v>none</x:v>
      </x:c>
      <x:c r="H11" s="144"/>
      <x:c r="I11" s="144" t="str">
        <x:v>yes</x:v>
      </x:c>
      <x:c r="J11" s="144" t="str">
        <x:v>yes</x:v>
      </x:c>
      <x:c r="K11" s="144" t="str">
        <x:v>Regulation (EU) No 1215/2012 Art.4(1); Art.6(1); Art.62(1). EUR-Lex: https://eur-lex.europa.eu/eli/reg/2012/1215/2015-02-26/eng</x:v>
      </x:c>
      <x:c r="L11" s="144" t="str">
        <x:v>须依相关成员国法律确认乙在起诉时不在德国或任何其他欧盟成员国具有住所；德国国籍及长期居住中国本身不能最终决定 domicile。</x:v>
      </x:c>
      <x:c r="M11" s="144" t="str">
        <x:v>medium</x:v>
      </x:c>
      <x:c r="N11" s="144" t="n">
        <x:v>4</x:v>
      </x:c>
      <x:c r="O11" s="144" t="str">
        <x:v>yes</x:v>
      </x:c>
      <x:c r="P11" s="144" t="str">
        <x:v>改为“乙在起诉时住所仅位于中国，且在任何欧盟成员国均无住所”。</x:v>
      </x:c>
      <x:c r="Q11" s="144" t="str">
        <x:v>Art.4 的一般管辖以成员国住所为连接点，德国国籍并非替代标准；Art.62 要求依相关成员国国内法判断住所。只有明确乙无任何成员国住所后，才可依 Art.6(1) 转由德国国内法判断，故现阶段按严格口径弃答。</x:v>
      </x:c>
      <x:c r="R11" s="156" t="str">
        <x:v>yes</x:v>
      </x:c>
      <x:c r="S11" s="156" t="str">
        <x:v>yes</x:v>
      </x:c>
      <x:c r="T11" s="159" t="n">
        <x:v>46269</x:v>
      </x:c>
      <x:c r="U11" s="119" t="str">
        <x:f>IF(E11="","待填写",IF(ISNUMBER(SEARCH("special_or_general",H11)),"备选类型含禁用标签",IF(E11="Abstain_Insufficient_Info",IF(AND(F11="none",G11="none",I11="yes",L11&lt;&gt;""),"通过","弃答字段不一致"),IF(E11="No_EU_jurisdiction_use_member_state_law",IF(AND(F11&lt;&gt;"",G11="none",I11&lt;&gt;"",J11&lt;&gt;"",K11&lt;&gt;"",M11&lt;&gt;"",N11&gt;=1,N11&lt;=5),"通过","No_EU 字段不完整"),IF(AND(F11&lt;&gt;"",G11&lt;&gt;"",G11&lt;&gt;"none",I11&lt;&gt;"",J11&lt;&gt;"",K11&lt;&gt;"",M11&lt;&gt;"",N11&gt;=1,N11&lt;=5,OR(O11="no",AND(O11="yes",P11&lt;&gt;""))),"通过","非弃答字段不完整")))))</x:f>
        <x:v>通过</x:v>
      </x:c>
      <x:c r="V11" s="147" t="str">
        <x:f>IF(AND(U11="通过",R11="yes",S11="yes",T11&lt;&gt;""),"已确认","待完成")</x:f>
        <x:v>已确认</x:v>
      </x:c>
    </x:row>
    <x:row r="12" ht="110" customHeight="1">
      <x:c r="A12" s="151" t="n">
        <x:f>'评审差异'!A12</x:f>
        <x:v>7</x:v>
      </x:c>
      <x:c r="B12" s="152" t="str">
        <x:f>'评审差异'!B12</x:f>
        <x:v>C2-862B421FF2</x:v>
      </x:c>
      <x:c r="C12" s="152" t="str">
        <x:f>'评审差异'!C12</x:f>
        <x:v>主要结论不一致；管辖类型集合不兼容；材料充分性判断不一致</x:v>
      </x:c>
      <x:c r="D12" s="123" t="str">
        <x:f>'评审差异'!D12</x:f>
        <x:v>甲在瑞典注册一项欧盟商标；乙在德国起诉，请求宣告该商标注册无效。</x:v>
      </x:c>
      <x:c r="E12" s="144" t="str">
        <x:v>Court_of_X_has_jurisdiction</x:v>
      </x:c>
      <x:c r="F12" s="144" t="str">
        <x:v>欧盟知识产权局（EUIPO）</x:v>
      </x:c>
      <x:c r="G12" s="144" t="str">
        <x:v>exclusive</x:v>
      </x:c>
      <x:c r="H12" s="144"/>
      <x:c r="I12" s="144" t="str">
        <x:v>no</x:v>
      </x:c>
      <x:c r="J12" s="144" t="str">
        <x:v>no</x:v>
      </x:c>
      <x:c r="K12" s="144" t="str">
        <x:v>Regulation (EU) 2017/1001 Art.59-60; Art.63(1); Art.124(d); Art.128(1). EUR-Lex: https://eur-lex.europa.eu/eli/reg/2017/1001/2025-12-01/eng</x:v>
      </x:c>
      <x:c r="L12" s="144"/>
      <x:c r="M12" s="144" t="str">
        <x:v>medium</x:v>
      </x:c>
      <x:c r="N12" s="144" t="n">
        <x:v>4</x:v>
      </x:c>
      <x:c r="O12" s="144" t="str">
        <x:v>yes</x:v>
      </x:c>
      <x:c r="P12" s="144" t="str">
        <x:v>将“甲在瑞典注册一项欧盟商标”改为“甲持有一项由 EUIPO 注册的欧盟商标”。</x:v>
      </x:c>
      <x:c r="Q12" s="144" t="str">
        <x:v>双方按修订后的事实确认：对欧盟商标提出独立无效申请原则上应向 EUIPO 提交；欧盟商标法院对无效的权限在 Art.124(d)、Art.128 框架下主要体现为侵权诉讼中的无效反诉。题干为德国独立起诉宣告无效，因此 EUIPO 是适当机构；exclusive 为现有编码中最接近的权限标签。</x:v>
      </x:c>
      <x:c r="R12" s="156" t="str">
        <x:v>yes</x:v>
      </x:c>
      <x:c r="S12" s="156" t="str">
        <x:v>yes</x:v>
      </x:c>
      <x:c r="T12" s="159" t="n">
        <x:v>46269</x:v>
      </x:c>
      <x:c r="U12" s="119" t="str">
        <x:f>IF(E12="","待填写",IF(ISNUMBER(SEARCH("special_or_general",H12)),"备选类型含禁用标签",IF(E12="Abstain_Insufficient_Info",IF(AND(F12="none",G12="none",I12="yes",L12&lt;&gt;""),"通过","弃答字段不一致"),IF(E12="No_EU_jurisdiction_use_member_state_law",IF(AND(F12&lt;&gt;"",G12="none",I12&lt;&gt;"",J12&lt;&gt;"",K12&lt;&gt;"",M12&lt;&gt;"",N12&gt;=1,N12&lt;=5),"通过","No_EU 字段不完整"),IF(AND(F12&lt;&gt;"",G12&lt;&gt;"",G12&lt;&gt;"none",I12&lt;&gt;"",J12&lt;&gt;"",K12&lt;&gt;"",M12&lt;&gt;"",N12&gt;=1,N12&lt;=5,OR(O12="no",AND(O12="yes",P12&lt;&gt;""))),"通过","非弃答字段不完整")))))</x:f>
        <x:v>通过</x:v>
      </x:c>
      <x:c r="V12" s="147" t="str">
        <x:f>IF(AND(U12="通过",R12="yes",S12="yes",T12&lt;&gt;""),"已确认","待完成")</x:f>
        <x:v>已确认</x:v>
      </x:c>
    </x:row>
    <x:row r="13" ht="110" customHeight="1">
      <x:c r="A13" s="151" t="n">
        <x:f>'评审差异'!A13</x:f>
        <x:v>8</x:v>
      </x:c>
      <x:c r="B13" s="152" t="str">
        <x:f>'评审差异'!B13</x:f>
        <x:v>C2-86BF6A1739</x:v>
      </x:c>
      <x:c r="C13" s="152" t="str">
        <x:f>'评审差异'!C13</x:f>
        <x:v>主要/备选管辖类型优先级不一致</x:v>
      </x:c>
      <x:c r="D13" s="123" t="str">
        <x:f>'评审差异'!D13</x:f>
        <x:v>法国消费者甲通过网络向荷兰商家乙订购家具，在预先勾选的条款中，甲以单独确认的方式接受了“阿姆斯特丹法院专属管辖”的条款；甲后来在阿姆斯特丹起诉乙要求履行。</x:v>
      </x:c>
      <x:c r="E13" s="144" t="str">
        <x:v>Court_of_X_has_jurisdiction</x:v>
      </x:c>
      <x:c r="F13" s="144" t="str">
        <x:v>荷兰法院</x:v>
      </x:c>
      <x:c r="G13" s="144" t="str">
        <x:v>general</x:v>
      </x:c>
      <x:c r="H13" s="144" t="str">
        <x:v>special;agreement</x:v>
      </x:c>
      <x:c r="I13" s="144" t="str">
        <x:v>no</x:v>
      </x:c>
      <x:c r="J13" s="144" t="str">
        <x:v>yes</x:v>
      </x:c>
      <x:c r="K13" s="144" t="str">
        <x:v>Regulation (EU) No 1215/2012 Art.4(1); Art.17(1)(c); Art.18(1); Art.19; Art.25(1),(2),(4). EUR-Lex: https://eur-lex.europa.eu/eli/reg/2012/1215/2015-02-26/eng; CJEU C-585/08 &amp; C-144/09: https://eur-lex.europa.eu/legal-content/EN/TXT/?uri=CELEX:62008CJ0585; CJEU C-322/14: https://eur-lex.europa.eu/legal-content/EN/ALL/?uri=CELEX:62014CJ0322</x:v>
      </x:c>
      <x:c r="L13" s="144" t="str">
        <x:v>需确认乙的商业或专业活动是否依 Art.17(1)(c) 定向至法国。若消费者管辖规则适用，诉前排他性选择法院条款须符合 Art.19，并受 Art.25(4) 限制；若消费者规则不适用，则需确认电子选择法院条款符合 Art.25(1)-(2) 的形式要求及 Art.25(1) 的实质有效性要求。具体由阿姆斯特丹法院受理，还须具有荷兰国内地域管辖依据或有效的阿姆斯特丹选择法院协议。</x:v>
      </x:c>
      <x:c r="M13" s="144" t="str">
        <x:v>medium</x:v>
      </x:c>
      <x:c r="N13" s="144" t="n">
        <x:v>4</x:v>
      </x:c>
      <x:c r="O13" s="144" t="str">
        <x:v>no</x:v>
      </x:c>
      <x:c r="P13" s="144"/>
      <x:c r="Q13" s="144" t="str">
        <x:v>双方按本案语境共同将“荷兰商家乙”理解为乙在荷兰具有本条例意义上的住所；该解释可依 Art.4(1) 确定荷兰法院的一般管辖，但不能单独确定阿姆斯特丹的国内地域管辖。消费者特别管辖是否成立取决于 Art.17(1)(c) 的定向经营条件；若消费者规则不适用，电子选择法院条款仅在符合 Art.25 的形式及实质有效性要求时才可能成立。因此 general 为主要类型，special 与 agreement 为条件性备选。</x:v>
      </x:c>
      <x:c r="R13" s="156" t="str">
        <x:v>yes</x:v>
      </x:c>
      <x:c r="S13" s="156" t="str">
        <x:v>yes</x:v>
      </x:c>
      <x:c r="T13" s="159" t="n">
        <x:v>46269</x:v>
      </x:c>
      <x:c r="U13" s="119" t="str">
        <x:f>IF(E13="","待填写",IF(ISNUMBER(SEARCH("special_or_general",H13)),"备选类型含禁用标签",IF(E13="Abstain_Insufficient_Info",IF(AND(F13="none",G13="none",I13="yes",L13&lt;&gt;""),"通过","弃答字段不一致"),IF(E13="No_EU_jurisdiction_use_member_state_law",IF(AND(F13&lt;&gt;"",G13="none",I13&lt;&gt;"",J13&lt;&gt;"",K13&lt;&gt;"",M13&lt;&gt;"",N13&gt;=1,N13&lt;=5),"通过","No_EU 字段不完整"),IF(AND(F13&lt;&gt;"",G13&lt;&gt;"",G13&lt;&gt;"none",I13&lt;&gt;"",J13&lt;&gt;"",K13&lt;&gt;"",M13&lt;&gt;"",N13&gt;=1,N13&lt;=5,OR(O13="no",AND(O13="yes",P13&lt;&gt;""))),"通过","非弃答字段不完整")))))</x:f>
        <x:v>通过</x:v>
      </x:c>
      <x:c r="V13" s="147" t="str">
        <x:f>IF(AND(U13="通过",R13="yes",S13="yes",T13&lt;&gt;""),"已确认","待完成")</x:f>
        <x:v>已确认</x:v>
      </x:c>
    </x:row>
    <x:row r="14" ht="110" customHeight="1">
      <x:c r="A14" s="153" t="n">
        <x:f>'评审差异'!A14</x:f>
        <x:v>9</x:v>
      </x:c>
      <x:c r="B14" s="154" t="str">
        <x:f>'评审差异'!B14</x:f>
        <x:v>C2-724A72C398</x:v>
      </x:c>
      <x:c r="C14" s="154" t="str">
        <x:f>'评审差异'!C14</x:f>
        <x:v>主要结论不一致；管辖类型集合不兼容</x:v>
      </x:c>
      <x:c r="D14" s="124" t="str">
        <x:f>'评审差异'!D14</x:f>
        <x:v>意大利法院受理甲对乙的侵权之诉；随后法国法院受理同一投资项目下甲对丙的合同责任之诉，两案事实背景高度重合但请求不同。</x:v>
      </x:c>
      <x:c r="E14" s="145" t="str">
        <x:v>Abstain_Insufficient_Info</x:v>
      </x:c>
      <x:c r="F14" s="145" t="str">
        <x:v>none</x:v>
      </x:c>
      <x:c r="G14" s="145" t="str">
        <x:v>none</x:v>
      </x:c>
      <x:c r="H14" s="145"/>
      <x:c r="I14" s="145" t="str">
        <x:v>yes</x:v>
      </x:c>
      <x:c r="J14" s="145" t="str">
        <x:v>no</x:v>
      </x:c>
      <x:c r="K14" s="145" t="str">
        <x:v>Regulation (EU) No 1215/2012 Art.29(1); Art.30(1)-(3). EUR-Lex: https://eur-lex.europa.eu/eli/reg/2012/1215/2015-02-26/eng</x:v>
      </x:c>
      <x:c r="L14" s="145" t="str">
        <x:v>需说明法国法院对合同之诉的独立国际管辖基础，以及分案审理是否存在 Art.30(3) 所称不可调和判决风险；若拟适用 Art.30(2)，还需确认先受理法院对两项诉讼均有管辖权并具备合并条件。</x:v>
      </x:c>
      <x:c r="M14" s="145" t="str">
        <x:v>high</x:v>
      </x:c>
      <x:c r="N14" s="145" t="n">
        <x:v>4</x:v>
      </x:c>
      <x:c r="O14" s="145" t="str">
        <x:v>yes</x:v>
      </x:c>
      <x:c r="P14" s="145" t="str">
        <x:v>补充法国合同之诉的独立国际管辖连接点，并明确是否存在不可调和判决风险及能否合并审理；或将问题明确为“法国后受理法院是否可依 Art.30 酌情中止”。</x:v>
      </x:c>
      <x:c r="Q14" s="145" t="str">
        <x:v>两案并非同一当事人和同一诉因，Art.29 的强制先受理规则不适用；Art.30 仅规定相关诉讼的酌情中止及特定条件下放弃管辖，并不自行赋予法国法院实体国际管辖。现有事实不足以确定法国法院有管辖权，故弃答并建议修订事实。</x:v>
      </x:c>
      <x:c r="R14" s="157" t="str">
        <x:v>yes</x:v>
      </x:c>
      <x:c r="S14" s="157" t="str">
        <x:v>yes</x:v>
      </x:c>
      <x:c r="T14" s="160" t="n">
        <x:v>46269</x:v>
      </x:c>
      <x:c r="U14" s="121" t="str">
        <x:f>IF(E14="","待填写",IF(ISNUMBER(SEARCH("special_or_general",H14)),"备选类型含禁用标签",IF(E14="Abstain_Insufficient_Info",IF(AND(F14="none",G14="none",I14="yes",L14&lt;&gt;""),"通过","弃答字段不一致"),IF(E14="No_EU_jurisdiction_use_member_state_law",IF(AND(F14&lt;&gt;"",G14="none",I14&lt;&gt;"",J14&lt;&gt;"",K14&lt;&gt;"",M14&lt;&gt;"",N14&gt;=1,N14&lt;=5),"通过","No_EU 字段不完整"),IF(AND(F14&lt;&gt;"",G14&lt;&gt;"",G14&lt;&gt;"none",I14&lt;&gt;"",J14&lt;&gt;"",K14&lt;&gt;"",M14&lt;&gt;"",N14&gt;=1,N14&lt;=5,OR(O14="no",AND(O14="yes",P14&lt;&gt;""))),"通过","非弃答字段不完整")))))</x:f>
        <x:v>通过</x:v>
      </x:c>
      <x:c r="V14" s="148" t="str">
        <x:f>IF(AND(U14="通过",R14="yes",S14="yes",T14&lt;&gt;""),"已确认","待完成")</x:f>
        <x:v>已确认</x:v>
      </x:c>
    </x:row>
  </x:sheetData>
  <x:mergeCells>
    <x:mergeCell ref="A1:V1"/>
    <x:mergeCell ref="A2:V2"/>
  </x:mergeCells>
  <x:conditionalFormatting sqref="U6:U14">
    <x:cfRule type="containsText" dxfId="1" priority="1" operator="containsText" text="通过"/>
    <x:cfRule type="notContainsText" dxfId="2" priority="2" text="通过"/>
  </x:conditionalFormatting>
  <x:conditionalFormatting sqref="V6:V14">
    <x:cfRule type="containsText" dxfId="3" priority="3" operator="containsText" text="已确认"/>
    <x:cfRule type="notContainsText" dxfId="4" priority="4" text="已确认"/>
  </x:conditionalFormatting>
  <x:dataValidations count="9">
    <x:dataValidation type="list" sqref="E6:E14">
      <x:formula1>'选项与编码'!$A$2:$A$6</x:formula1>
    </x:dataValidation>
    <x:dataValidation type="list" sqref="G6:G14">
      <x:formula1>'选项与编码'!$B$2:$B$8</x:formula1>
    </x:dataValidation>
    <x:dataValidation type="list" sqref="I6:I14">
      <x:formula1>'选项与编码'!$C$2:$C$3</x:formula1>
    </x:dataValidation>
    <x:dataValidation type="list" sqref="J6:J14">
      <x:formula1>'选项与编码'!$C$2:$C$3</x:formula1>
    </x:dataValidation>
    <x:dataValidation type="list" sqref="O6:O14">
      <x:formula1>'选项与编码'!$C$2:$C$3</x:formula1>
    </x:dataValidation>
    <x:dataValidation type="list" sqref="R6:R14">
      <x:formula1>'选项与编码'!$C$2:$C$3</x:formula1>
    </x:dataValidation>
    <x:dataValidation type="list" sqref="S6:S14">
      <x:formula1>'选项与编码'!$C$2:$C$3</x:formula1>
    </x:dataValidation>
    <x:dataValidation type="list" sqref="M6:M14">
      <x:formula1>'选项与编码'!$D$2:$D$4</x:formula1>
    </x:dataValidation>
    <x:dataValidation type="whole" operator="between" sqref="N6:N14">
      <x:formula1>1</x:formula1>
      <x:formula2>5</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8" hidden="0" customWidth="1"/>
    <x:col min="2" max="2" width="22" hidden="0" customWidth="1"/>
    <x:col min="3" max="3" width="14" hidden="0" customWidth="1"/>
    <x:col min="4" max="4" width="14" hidden="0" customWidth="1"/>
    <x:col min="5" max="5" width="14" hidden="0" customWidth="1"/>
    <x:col min="6" max="6" width="76" hidden="0" customWidth="1"/>
  </x:cols>
  <x:sheetData>
    <x:row r="1" ht="40" customHeight="1">
      <x:c r="A1" s="88" t="str">
        <x:v>主要结论</x:v>
      </x:c>
      <x:c r="B1" s="88" t="str">
        <x:v>主要管辖类型</x:v>
      </x:c>
      <x:c r="C1" s="88" t="str">
        <x:v>是/否</x:v>
      </x:c>
      <x:c r="D1" s="88" t="str">
        <x:v>歧义程度</x:v>
      </x:c>
      <x:c r="E1" s="88" t="str">
        <x:v>信心</x:v>
      </x:c>
      <x:c r="F1" s="88" t="str">
        <x:v>标签说明</x:v>
      </x:c>
    </x:row>
    <x:row r="2" ht="36" customHeight="1">
      <x:c r="A2" s="179" t="str">
        <x:v>Court_of_X_has_jurisdiction</x:v>
      </x:c>
      <x:c r="B2" s="180" t="str">
        <x:v>exclusive</x:v>
      </x:c>
      <x:c r="C2" s="180" t="str">
        <x:v>yes</x:v>
      </x:c>
      <x:c r="D2" s="180" t="str">
        <x:v>low</x:v>
      </x:c>
      <x:c r="E2" s="180" t="n">
        <x:v>1</x:v>
      </x:c>
      <x:c r="F2" s="181" t="str">
        <x:v>Court_of_X_has_jurisdiction：能够确定主要有管辖权/权限的法院或机构。</x:v>
      </x:c>
    </x:row>
    <x:row r="3" ht="36" customHeight="1">
      <x:c r="A3" s="182" t="str">
        <x:v>Stay_for_first_seised</x:v>
      </x:c>
      <x:c r="B3" s="183" t="str">
        <x:v>agreement</x:v>
      </x:c>
      <x:c r="C3" s="183" t="str">
        <x:v>no</x:v>
      </x:c>
      <x:c r="D3" s="183" t="str">
        <x:v>medium</x:v>
      </x:c>
      <x:c r="E3" s="183" t="n">
        <x:v>2</x:v>
      </x:c>
      <x:c r="F3" s="184" t="str">
        <x:v>Stay_for_first_seised：后受理法院应中止或让位于先受理法院。</x:v>
      </x:c>
    </x:row>
    <x:row r="4" ht="36" customHeight="1">
      <x:c r="A4" s="182" t="str">
        <x:v>Decline_in_favor_of_chosen_court</x:v>
      </x:c>
      <x:c r="B4" s="183" t="str">
        <x:v>special</x:v>
      </x:c>
      <x:c r="C4" s="183" t="str"/>
      <x:c r="D4" s="183" t="str">
        <x:v>high</x:v>
      </x:c>
      <x:c r="E4" s="183" t="n">
        <x:v>3</x:v>
      </x:c>
      <x:c r="F4" s="184" t="str">
        <x:v>Decline_in_favor_of_chosen_court：依据有效选择法院条款向指定法院让位。</x:v>
      </x:c>
    </x:row>
    <x:row r="5" ht="36" customHeight="1">
      <x:c r="A5" s="182" t="str">
        <x:v>No_EU_jurisdiction_use_member_state_law</x:v>
      </x:c>
      <x:c r="B5" s="183" t="str">
        <x:v>general</x:v>
      </x:c>
      <x:c r="C5" s="183" t="str"/>
      <x:c r="D5" s="183" t="str"/>
      <x:c r="E5" s="183" t="n">
        <x:v>4</x:v>
      </x:c>
      <x:c r="F5" s="184" t="str">
        <x:v>No_EU_jurisdiction_use_member_state_law：条例不能直接提供管辖基础，转由成员国法。</x:v>
      </x:c>
    </x:row>
    <x:row r="6" ht="36" customHeight="1">
      <x:c r="A6" s="182" t="str">
        <x:v>Abstain_Insufficient_Info</x:v>
      </x:c>
      <x:c r="B6" s="183" t="str">
        <x:v>lis_pendens</x:v>
      </x:c>
      <x:c r="C6" s="183" t="str"/>
      <x:c r="D6" s="183" t="str"/>
      <x:c r="E6" s="183" t="n">
        <x:v>5</x:v>
      </x:c>
      <x:c r="F6" s="184" t="str">
        <x:v>Abstain_Insufficient_Info：现有事实不足以形成可靠结论。</x:v>
      </x:c>
    </x:row>
    <x:row r="7" ht="36" customHeight="1">
      <x:c r="A7" s="182" t="str"/>
      <x:c r="B7" s="183" t="str">
        <x:v>appearance</x:v>
      </x:c>
      <x:c r="C7" s="183" t="str"/>
      <x:c r="D7" s="183" t="str"/>
      <x:c r="E7" s="183" t="str"/>
      <x:c r="F7" s="184" t="str">
        <x:v>备选类型：只填原子标签，多个用英文分号；不得使用 special_or_general。</x:v>
      </x:c>
    </x:row>
    <x:row r="8" ht="36" customHeight="1">
      <x:c r="A8" s="185" t="str"/>
      <x:c r="B8" s="186" t="str">
        <x:v>none</x:v>
      </x:c>
      <x:c r="C8" s="186" t="str"/>
      <x:c r="D8" s="186" t="str"/>
      <x:c r="E8" s="186" t="str"/>
      <x:c r="F8" s="187" t="str">
        <x:v>官方正文：https://eur-lex.europa.eu/legal-content/EN/TXT/?uri=CELEX:32012R1215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18" hidden="0" customWidth="1"/>
    <x:col min="3" max="3" width="22" hidden="0" customWidth="1"/>
    <x:col min="4" max="4" width="26" hidden="0" customWidth="1"/>
    <x:col min="5" max="5" width="28" hidden="0" customWidth="1"/>
    <x:col min="6" max="6" width="26" hidden="0" customWidth="1"/>
    <x:col min="7" max="7" width="18" hidden="0" customWidth="1"/>
    <x:col min="8" max="8" width="18" hidden="0" customWidth="1"/>
    <x:col min="9" max="9" width="12" hidden="0" customWidth="1"/>
    <x:col min="10" max="10" width="14" hidden="0" customWidth="1"/>
    <x:col min="11" max="11" width="34" hidden="0" customWidth="1"/>
    <x:col min="12" max="12" width="16" hidden="0" customWidth="1"/>
    <x:col min="13" max="13" width="42" hidden="0" customWidth="1"/>
    <x:col min="14" max="14" width="58" hidden="0" customWidth="1"/>
    <x:col min="15" max="15" width="55" hidden="0" customWidth="1"/>
  </x:cols>
  <x:sheetData>
    <x:row r="1">
      <x:c r="A1" s="192" t="str">
        <x:v>PIL C2 双方草案对照与最终合并记录（已由两位评审确认）</x:v>
      </x:c>
      <x:c r="B1" s="192"/>
      <x:c r="C1" s="192"/>
      <x:c r="D1" s="192"/>
      <x:c r="E1" s="192"/>
      <x:c r="F1" s="192"/>
      <x:c r="G1" s="192"/>
      <x:c r="H1" s="192"/>
      <x:c r="I1" s="192"/>
      <x:c r="J1" s="192"/>
      <x:c r="K1" s="192"/>
      <x:c r="L1" s="192"/>
      <x:c r="M1" s="192"/>
      <x:c r="N1" s="192"/>
      <x:c r="O1" s="192"/>
    </x:row>
    <x:row r="2">
      <x:c r="A2" s="195" t="str">
        <x:v>说明：本页保留双方逐案讨论与合并依据；最终提交内容以“共识填写”页为准。</x:v>
      </x:c>
      <x:c r="B2" s="195" t="str"/>
      <x:c r="C2" s="195" t="str"/>
      <x:c r="D2" s="195" t="str"/>
      <x:c r="E2" s="195" t="str"/>
      <x:c r="F2" s="195" t="str"/>
      <x:c r="G2" s="195" t="str"/>
      <x:c r="H2" s="195" t="str"/>
      <x:c r="I2" s="195" t="str"/>
      <x:c r="J2" s="195" t="str"/>
      <x:c r="K2" s="195" t="str"/>
      <x:c r="L2" s="195" t="str"/>
      <x:c r="M2" s="195" t="str"/>
      <x:c r="N2" s="195" t="str"/>
      <x:c r="O2" s="195" t="str"/>
    </x:row>
    <x:row r="4">
      <x:c r="A4" s="202" t="str">
        <x:v>序号</x:v>
      </x:c>
      <x:c r="B4" s="202" t="str">
        <x:v>共识编号</x:v>
      </x:c>
      <x:c r="C4" s="202" t="str">
        <x:v>对比结果</x:v>
      </x:c>
      <x:c r="D4" s="202" t="str">
        <x:v>建议最终处理</x:v>
      </x:c>
      <x:c r="E4" s="202" t="str">
        <x:v>建议主要结论</x:v>
      </x:c>
      <x:c r="F4" s="202" t="str">
        <x:v>建议主要法院/机构</x:v>
      </x:c>
      <x:c r="G4" s="202" t="str">
        <x:v>建议主要管辖类型</x:v>
      </x:c>
      <x:c r="H4" s="202" t="str">
        <x:v>建议备选管辖类型</x:v>
      </x:c>
      <x:c r="I4" s="202" t="str">
        <x:v>材料是否不足</x:v>
      </x:c>
      <x:c r="J4" s="202" t="str">
        <x:v>是否条件式回答</x:v>
      </x:c>
      <x:c r="K4" s="202" t="str">
        <x:v>建议法律依据</x:v>
      </x:c>
      <x:c r="L4" s="202" t="str">
        <x:v>是否建议修订事实</x:v>
      </x:c>
      <x:c r="M4" s="202" t="str">
        <x:v>事实修订建议</x:v>
      </x:c>
      <x:c r="N4" s="202" t="str">
        <x:v>合并理由</x:v>
      </x:c>
      <x:c r="O4" s="202" t="str">
        <x:v>官方法源/判例</x:v>
      </x:c>
    </x:row>
    <x:row r="5">
      <x:c r="A5" s="203" t="n">
        <x:v>1</x:v>
      </x:c>
      <x:c r="B5" s="203" t="str">
        <x:v>C2-6F973FE217</x:v>
      </x:c>
      <x:c r="C5" s="203" t="str">
        <x:v>双方实质一致</x:v>
      </x:c>
      <x:c r="D5" s="203" t="str">
        <x:v>直接确认</x:v>
      </x:c>
      <x:c r="E5" s="203" t="str">
        <x:v>Court_of_X_has_jurisdiction</x:v>
      </x:c>
      <x:c r="F5" s="203" t="str">
        <x:v>意大利法院</x:v>
      </x:c>
      <x:c r="G5" s="203" t="str">
        <x:v>general</x:v>
      </x:c>
      <x:c r="H5" s="203" t="str">
        <x:v>special</x:v>
      </x:c>
      <x:c r="I5" s="203" t="str">
        <x:v>no</x:v>
      </x:c>
      <x:c r="J5" s="203" t="str">
        <x:v>no</x:v>
      </x:c>
      <x:c r="K5" s="203" t="str">
        <x:v>Art.4(1); Art.7(1)(a)</x:v>
      </x:c>
      <x:c r="L5" s="203" t="str">
        <x:v>no</x:v>
      </x:c>
      <x:c r="M5" s="203" t="str"/>
      <x:c r="N5" s="203" t="str">
        <x:v>住所地和履行地均指向意大利；一般管辖作为主类型、合同特别管辖作为备选，最稳定。</x:v>
      </x:c>
      <x:c r="O5" s="203" t="str">
        <x:v>https://eur-lex.europa.eu/eli/reg/2012/1215/2015-02-26/eng</x:v>
      </x:c>
    </x:row>
    <x:row r="6">
      <x:c r="A6" s="203" t="n">
        <x:v>2</x:v>
      </x:c>
      <x:c r="B6" s="203" t="str">
        <x:v>C2-1E0BD448C5</x:v>
      </x:c>
      <x:c r="C6" s="203" t="str">
        <x:v>主要结论一致；材料充分性分歧</x:v>
      </x:c>
      <x:c r="D6" s="203" t="str">
        <x:v>建议严格口径下弃答，并修订事实后再确认</x:v>
      </x:c>
      <x:c r="E6" s="203" t="str">
        <x:v>Abstain_Insufficient_Info</x:v>
      </x:c>
      <x:c r="F6" s="203" t="str">
        <x:v>none</x:v>
      </x:c>
      <x:c r="G6" s="203" t="str">
        <x:v>none</x:v>
      </x:c>
      <x:c r="H6" s="203" t="str"/>
      <x:c r="I6" s="203" t="str">
        <x:v>yes</x:v>
      </x:c>
      <x:c r="J6" s="203" t="str">
        <x:v>yes</x:v>
      </x:c>
      <x:c r="K6" s="203" t="str">
        <x:v>Art.5(1); Art.7(2); Art.6(1)</x:v>
      </x:c>
      <x:c r="L6" s="203" t="str">
        <x:v>yes</x:v>
      </x:c>
      <x:c r="M6" s="203" t="str">
        <x:v>将“德国驾驶员乙”改为“住所位于德国的驾驶员乙”；如仅指德国国籍，则不能直接适用 Art.7(2)。</x:v>
      </x:c>
      <x:c r="N6" s="203" t="str">
        <x:v>Art.7 的前提是被告在成员国有住所；“德国驾驶员”不能可靠等同于德国住所。修订后法国事故地可依 Art.7(2) 管辖。</x:v>
      </x:c>
      <x:c r="O6" s="203" t="str">
        <x:v>https://eur-lex.europa.eu/eli/reg/2012/1215/2015-02-26/eng</x:v>
      </x:c>
    </x:row>
    <x:row r="7">
      <x:c r="A7" s="203" t="n">
        <x:v>3</x:v>
      </x:c>
      <x:c r="B7" s="203" t="str">
        <x:v>C2-E0613A9BB2</x:v>
      </x:c>
      <x:c r="C7" s="203" t="str">
        <x:v>主要结论一致；仅对材料充分性口径不同</x:v>
      </x:c>
      <x:c r="D7" s="203" t="str">
        <x:v>采双方确认的“材料不足=no + 条件式=yes”</x:v>
      </x:c>
      <x:c r="E7" s="203" t="str">
        <x:v>Stay_for_first_seised</x:v>
      </x:c>
      <x:c r="F7" s="203" t="str">
        <x:v>法国法院为先受理法院；意大利法院中止</x:v>
      </x:c>
      <x:c r="G7" s="203" t="str">
        <x:v>lis_pendens</x:v>
      </x:c>
      <x:c r="H7" s="203" t="str"/>
      <x:c r="I7" s="203" t="str">
        <x:v>no</x:v>
      </x:c>
      <x:c r="J7" s="203" t="str">
        <x:v>yes</x:v>
      </x:c>
      <x:c r="K7" s="203" t="str">
        <x:v>Art.29(1); Art.32(1)</x:v>
      </x:c>
      <x:c r="L7" s="203" t="str">
        <x:v>no</x:v>
      </x:c>
      <x:c r="M7" s="203" t="str"/>
      <x:c r="N7" s="203" t="str">
        <x:v>案情已给出法国较早登记/受理的程序事实，足以作主判断；Art.32 对提交/送达及后续步骤的要求作为条件写明即可，不必因此认定材料不足。</x:v>
      </x:c>
      <x:c r="O7" s="203" t="str">
        <x:v>https://eur-lex.europa.eu/eli/reg/2012/1215/2015-02-26/eng</x:v>
      </x:c>
    </x:row>
    <x:row r="8">
      <x:c r="A8" s="203" t="n">
        <x:v>4</x:v>
      </x:c>
      <x:c r="B8" s="203" t="str">
        <x:v>C2-2428AB5B5D</x:v>
      </x:c>
      <x:c r="C8" s="203" t="str">
        <x:v>主要结论一致；材料充分性分歧</x:v>
      </x:c>
      <x:c r="D8" s="203" t="str">
        <x:v>建议严格口径下弃答，并修订事实后再确认</x:v>
      </x:c>
      <x:c r="E8" s="203" t="str">
        <x:v>Abstain_Insufficient_Info</x:v>
      </x:c>
      <x:c r="F8" s="203" t="str">
        <x:v>none</x:v>
      </x:c>
      <x:c r="G8" s="203" t="str">
        <x:v>none</x:v>
      </x:c>
      <x:c r="H8" s="203" t="str"/>
      <x:c r="I8" s="203" t="str">
        <x:v>yes</x:v>
      </x:c>
      <x:c r="J8" s="203" t="str">
        <x:v>yes</x:v>
      </x:c>
      <x:c r="K8" s="203" t="str">
        <x:v>Art.4(1); Art.26(1); Art.62(1)</x:v>
      </x:c>
      <x:c r="L8" s="203" t="str">
        <x:v>yes</x:v>
      </x:c>
      <x:c r="M8" s="203" t="str">
        <x:v>将“德国被告乙”改为“住所位于德国的被告乙”。</x:v>
      </x:c>
      <x:c r="N8" s="203" t="str">
        <x:v>可以确定的是乙仅为管辖异议出庭不构成 Art.26 应诉管辖；但若要进一步确定德国法院依 Art.4(1) 有一般管辖，必须有德国住所而非德国国籍/身份描述。</x:v>
      </x:c>
      <x:c r="O8" s="203" t="str">
        <x:v>https://eur-lex.europa.eu/eli/reg/2012/1215/2015-02-26/eng</x:v>
      </x:c>
    </x:row>
    <x:row r="9">
      <x:c r="A9" s="203" t="n">
        <x:v>5</x:v>
      </x:c>
      <x:c r="B9" s="203" t="str">
        <x:v>C2-1F99728919</x:v>
      </x:c>
      <x:c r="C9" s="203" t="str">
        <x:v>主要结论/类型一致；材料充分性口径不同</x:v>
      </x:c>
      <x:c r="D9" s="203" t="str">
        <x:v>采双方确认的“材料不足=no + 条件式=yes”</x:v>
      </x:c>
      <x:c r="E9" s="203" t="str">
        <x:v>Court_of_X_has_jurisdiction</x:v>
      </x:c>
      <x:c r="F9" s="203" t="str">
        <x:v>西班牙法院</x:v>
      </x:c>
      <x:c r="G9" s="203" t="str">
        <x:v>appearance</x:v>
      </x:c>
      <x:c r="H9" s="203" t="str"/>
      <x:c r="I9" s="203" t="str">
        <x:v>no</x:v>
      </x:c>
      <x:c r="J9" s="203" t="str">
        <x:v>yes</x:v>
      </x:c>
      <x:c r="K9" s="203" t="str">
        <x:v>Art.26(1); Art.24; Art.26(2)</x:v>
      </x:c>
      <x:c r="L9" s="203" t="str">
        <x:v>no</x:v>
      </x:c>
      <x:c r="M9" s="203" t="str"/>
      <x:c r="N9" s="203" t="str">
        <x:v>实体答辩且未抗辩管辖是典型 Art.26(1) 应诉管辖。Art.24 专属管辖与弱方被告的 Art.26(2) 告知要求属于例外/条件，不宜仅因未出现这些例外事实就判定材料不足。</x:v>
      </x:c>
      <x:c r="O9" s="203" t="str">
        <x:v>https://eur-lex.europa.eu/eli/reg/2012/1215/2015-02-26/eng</x:v>
      </x:c>
    </x:row>
    <x:row r="10">
      <x:c r="A10" s="203" t="n">
        <x:v>6</x:v>
      </x:c>
      <x:c r="B10" s="203" t="str">
        <x:v>C2-BE1C94E83E</x:v>
      </x:c>
      <x:c r="C10" s="203" t="str">
        <x:v>主要结论一致；材料充分性分歧</x:v>
      </x:c>
      <x:c r="D10" s="203" t="str">
        <x:v>建议严格口径下弃答，并修订事实后再确认</x:v>
      </x:c>
      <x:c r="E10" s="203" t="str">
        <x:v>Abstain_Insufficient_Info</x:v>
      </x:c>
      <x:c r="F10" s="203" t="str">
        <x:v>none</x:v>
      </x:c>
      <x:c r="G10" s="203" t="str">
        <x:v>none</x:v>
      </x:c>
      <x:c r="H10" s="203" t="str"/>
      <x:c r="I10" s="203" t="str">
        <x:v>yes</x:v>
      </x:c>
      <x:c r="J10" s="203" t="str">
        <x:v>yes</x:v>
      </x:c>
      <x:c r="K10" s="203" t="str">
        <x:v>Art.4(1); Art.6(1); Art.62(1)</x:v>
      </x:c>
      <x:c r="L10" s="203" t="str">
        <x:v>yes</x:v>
      </x:c>
      <x:c r="M10" s="203" t="str">
        <x:v>改为“乙在起诉时住所仅位于中国，且在任何欧盟成员国均无住所”。</x:v>
      </x:c>
      <x:c r="N10" s="203" t="str">
        <x:v>国籍与长期居住均不等于 Brussels I bis 意义上的 domicile；Art.62 要求按法院地法判断住所。只有明确无成员国住所后，才可稳定转入 Art.6(1) 的成员国国内法。</x:v>
      </x:c>
      <x:c r="O10" s="203" t="str">
        <x:v>https://eur-lex.europa.eu/eli/reg/2012/1215/2015-02-26/eng</x:v>
      </x:c>
    </x:row>
    <x:row r="11">
      <x:c r="A11" s="203" t="n">
        <x:v>7</x:v>
      </x:c>
      <x:c r="B11" s="203" t="str">
        <x:v>C2-862B421FF2</x:v>
      </x:c>
      <x:c r="C11" s="203" t="str">
        <x:v>原先我们弃答；她给出 EUIPO 实体结论</x:v>
      </x:c>
      <x:c r="D11" s="203" t="str">
        <x:v>采纳她的实体方向，并保留事实修订</x:v>
      </x:c>
      <x:c r="E11" s="203" t="str">
        <x:v>Court_of_X_has_jurisdiction</x:v>
      </x:c>
      <x:c r="F11" s="203" t="str">
        <x:v>欧盟知识产权局（EUIPO）</x:v>
      </x:c>
      <x:c r="G11" s="203" t="str">
        <x:v>exclusive</x:v>
      </x:c>
      <x:c r="H11" s="203" t="str"/>
      <x:c r="I11" s="203" t="str">
        <x:v>no</x:v>
      </x:c>
      <x:c r="J11" s="203" t="str">
        <x:v>no</x:v>
      </x:c>
      <x:c r="K11" s="203" t="str">
        <x:v>Reg. (EU) 2017/1001 Arts.59-60; Art.63(1); Art.124(d); Art.128(1)</x:v>
      </x:c>
      <x:c r="L11" s="203" t="str">
        <x:v>yes</x:v>
      </x:c>
      <x:c r="M11" s="203" t="str">
        <x:v>将“甲在瑞典注册一项欧盟商标”改为“甲持有一项由 EUIPO 注册的欧盟商标”。</x:v>
      </x:c>
      <x:c r="N11" s="203" t="str">
        <x:v>独立无效申请可向 EUIPO 提交；EU trade mark courts 的无效权限在 Art.124(d)、128 下主要体现为侵权诉讼中的无效反诉。题干明确是在德国独立起诉宣告无效，因此可确定德国法院不是该独立无效申请的适当机关。“exclusive”是现有编码中最接近的权限标签。</x:v>
      </x:c>
      <x:c r="O11" s="203" t="str">
        <x:v>https://eur-lex.europa.eu/eli/reg/2017/1001/2025-12-01/eng</x:v>
      </x:c>
    </x:row>
    <x:row r="12">
      <x:c r="A12" s="203" t="n">
        <x:v>8</x:v>
      </x:c>
      <x:c r="B12" s="203" t="str">
        <x:v>C2-86BF6A1739</x:v>
      </x:c>
      <x:c r="C12" s="203" t="str">
        <x:v>主要结论一致；主/备类型相反</x:v>
      </x:c>
      <x:c r="D12" s="203" t="str">
        <x:v>双方最终确认：general 为主，special 与 agreement 为条件性备选</x:v>
      </x:c>
      <x:c r="E12" s="203" t="str">
        <x:v>Court_of_X_has_jurisdiction</x:v>
      </x:c>
      <x:c r="F12" s="203" t="str">
        <x:v>荷兰法院</x:v>
      </x:c>
      <x:c r="G12" s="203" t="str">
        <x:v>general</x:v>
      </x:c>
      <x:c r="H12" s="203" t="str">
        <x:v>special;agreement</x:v>
      </x:c>
      <x:c r="I12" s="203" t="str">
        <x:v>no</x:v>
      </x:c>
      <x:c r="J12" s="203" t="str">
        <x:v>yes</x:v>
      </x:c>
      <x:c r="K12" s="203" t="str">
        <x:v>Art.4(1); Art.17(1)(c); Art.18(1); Art.19; Art.25(1),(2),(4)</x:v>
      </x:c>
      <x:c r="L12" s="203" t="str">
        <x:v>no</x:v>
      </x:c>
      <x:c r="M12" s="203"/>
      <x:c r="N12" s="203" t="str">
        <x:v>双方按本案语境共同将“荷兰商家乙”解释为乙在荷兰具有本条例意义上的住所，故 Art.4(1) 可确定荷兰法院的一般管辖，但不能单独确定阿姆斯特丹的国内地域管辖。Art.17 消费者特别管辖与 Art.25 选择法院协议分别取决于定向经营及协议形式、实质有效性等条件，故作为条件性备选记录。</x:v>
      </x:c>
      <x:c r="O12" s="203" t="str">
        <x:v>https://eur-lex.europa.eu/eli/reg/2012/1215/2015-02-26/eng ; https://eur-lex.europa.eu/legal-content/EN/TXT/?uri=CELEX:62008CJ0585 ; https://eur-lex.europa.eu/legal-content/EN/ALL/?uri=CELEX:62014CJ0322</x:v>
      </x:c>
    </x:row>
    <x:row r="13">
      <x:c r="A13" s="203" t="n">
        <x:v>9</x:v>
      </x:c>
      <x:c r="B13" s="203" t="str">
        <x:v>C2-724A72C398</x:v>
      </x:c>
      <x:c r="C13" s="203" t="str">
        <x:v>主要结论仍有实质分歧</x:v>
      </x:c>
      <x:c r="D13" s="203" t="str">
        <x:v>维持我们原先弃答，并建议修订事实</x:v>
      </x:c>
      <x:c r="E13" s="203" t="str">
        <x:v>Abstain_Insufficient_Info</x:v>
      </x:c>
      <x:c r="F13" s="203" t="str">
        <x:v>none</x:v>
      </x:c>
      <x:c r="G13" s="203" t="str">
        <x:v>none</x:v>
      </x:c>
      <x:c r="H13" s="203" t="str"/>
      <x:c r="I13" s="203" t="str">
        <x:v>yes</x:v>
      </x:c>
      <x:c r="J13" s="203" t="str">
        <x:v>no</x:v>
      </x:c>
      <x:c r="K13" s="203" t="str">
        <x:v>Art.30(1)-(3)</x:v>
      </x:c>
      <x:c r="L13" s="203" t="str">
        <x:v>yes</x:v>
      </x:c>
      <x:c r="M13" s="203" t="str">
        <x:v>补充法国合同之诉的独立国际管辖基础，并明确是否要判断法国法院依 Art.30 酌情中止、以及是否存在不可调和判决风险/合并条件。</x:v>
      </x:c>
      <x:c r="N13" s="203" t="str">
        <x:v>两案并非同一当事人和同一诉因，Art.29 不适用；Art.30 只是 related actions 的裁量中止/特定条件下放弃管辖，并不赋予法国法院独立管辖。现有事实无法稳定写成“法国法院有管辖权”，故弃答更符合共识说明中的事实不足规则。</x:v>
      </x:c>
      <x:c r="O13" s="203" t="str">
        <x:v>https://eur-lex.europa.eu/eli/reg/2012/1215/2015-02-26/eng</x:v>
      </x:c>
    </x:row>
  </x:sheetData>
  <x:mergeCells>
    <x:mergeCell ref="A1:O1"/>
    <x:mergeCell ref="A2:O2"/>
  </x:mergeCells>
  <x:pageMargins left="0.7" right="0.7" top="0.75" bottom="0.75" header="0.3" footer="0.3"/>
</x:worksheet>
</file>