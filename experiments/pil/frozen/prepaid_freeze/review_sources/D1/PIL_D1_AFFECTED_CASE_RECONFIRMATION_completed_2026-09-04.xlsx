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089ae0515846ef" /></Relationships>
</file>

<file path=xl/workbook.xml><?xml version="1.0" encoding="utf-8"?>
<x:workbook xmlns:x="http://schemas.openxmlformats.org/spreadsheetml/2006/main">
  <x:sheets>
    <x:sheet xmlns:r="http://schemas.openxmlformats.org/officeDocument/2006/relationships" name="说明" sheetId="1" r:id="Rd25b6c1b27ad40d5"/>
    <x:sheet xmlns:r="http://schemas.openxmlformats.org/officeDocument/2006/relationships" name="修订后复确认" sheetId="2" r:id="R14a00461d59f43e8"/>
    <x:sheet xmlns:r="http://schemas.openxmlformats.org/officeDocument/2006/relationships" name="法源与标签建议" sheetId="3" r:id="Rf5ca97a38ce84618"/>
    <x:sheet xmlns:r="http://schemas.openxmlformats.org/officeDocument/2006/relationships" name="选项" sheetId="4" r:id="R9ce4967480f844f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16"/>
      <x:color rgb="FFFFFFFF"/>
      <x:name val="Carlito"/>
    </x:font>
    <x:font>
      <x:i/>
      <x:sz val="11"/>
      <x:name val="Carlito"/>
    </x:font>
    <x:font>
      <x:b/>
      <x:sz val="11"/>
      <x:name val="Carlito"/>
    </x:font>
    <x:font>
      <x:b/>
      <x:sz val="11"/>
      <x:color rgb="FF7F6000"/>
      <x:name val="Carlito"/>
    </x:font>
    <x:font>
      <x:b/>
      <x:sz val="11"/>
      <x:color rgb="FFFFFFFF"/>
      <x:name val="Carlito"/>
    </x:font>
  </x:fonts>
  <x:fills count="8">
    <x:fill>
      <x:patternFill patternType="none"/>
    </x:fill>
    <x:fill>
      <x:patternFill patternType="gray125"/>
    </x:fill>
    <x:fill>
      <x:patternFill patternType="solid">
        <x:fgColor rgb="FF17375E"/>
      </x:patternFill>
    </x:fill>
    <x:fill>
      <x:patternFill patternType="solid">
        <x:fgColor rgb="FFDDEBF7"/>
      </x:patternFill>
    </x:fill>
    <x:fill>
      <x:patternFill patternType="solid">
        <x:fgColor rgb="FFF2F2F2"/>
      </x:patternFill>
    </x:fill>
    <x:fill>
      <x:patternFill patternType="solid">
        <x:fgColor rgb="FFFFF2CC"/>
      </x:patternFill>
    </x:fill>
    <x:fill>
      <x:patternFill patternType="solid">
        <x:fgColor rgb="FFEAF2F8"/>
      </x:patternFill>
    </x:fill>
    <x:fill>
      <x:patternFill patternType="solid">
        <x:fgColor rgb="FFFCE4D6"/>
      </x:patternFill>
    </x:fill>
  </x:fills>
  <x:borders count="23">
    <x:border/>
    <x:border>
      <x:right style="thin">
        <x:color rgb="FFB4C6E7"/>
      </x:right>
    </x:border>
    <x:border>
      <x:left style="thin">
        <x:color rgb="FFB4C6E7"/>
      </x:left>
      <x:right style="thin">
        <x:color rgb="FFB4C6E7"/>
      </x:right>
    </x:border>
    <x:border>
      <x:left style="thin">
        <x:color rgb="FFB4C6E7"/>
      </x:left>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rgb="FFB4C6E7"/>
      </x:left>
      <x:right style="thin">
        <x:color rgb="FFB4C6E7"/>
      </x:right>
      <x:top style="thin">
        <x:color rgb="FFB4C6E7"/>
      </x:top>
      <x:bottom style="thin">
        <x:color rgb="FFB4C6E7"/>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right style="thin">
        <x:color rgb="FFB4C6E7"/>
      </x:right>
      <x:bottom style="thin">
        <x:color rgb="FFB4C6E7"/>
      </x:bottom>
    </x:border>
    <x:border>
      <x:left style="thin">
        <x:color rgb="FFB4C6E7"/>
      </x:left>
      <x:right style="thin">
        <x:color rgb="FFB4C6E7"/>
      </x:right>
      <x:bottom style="thin">
        <x:color rgb="FFB4C6E7"/>
      </x:bottom>
    </x:border>
    <x:border>
      <x:left style="thin">
        <x:color rgb="FFB4C6E7"/>
      </x:left>
      <x:bottom style="thin">
        <x:color rgb="FFB4C6E7"/>
      </x:bottom>
    </x:border>
    <x:border>
      <x:right style="thin">
        <x:color rgb="FFB4C6E7"/>
      </x:right>
      <x:top style="thin">
        <x:color rgb="FFB4C6E7"/>
      </x:top>
    </x:border>
    <x:border>
      <x:left style="thin">
        <x:color rgb="FFB4C6E7"/>
      </x:left>
      <x:right style="thin">
        <x:color rgb="FFB4C6E7"/>
      </x:right>
      <x:top style="thin">
        <x:color rgb="FFB4C6E7"/>
      </x:top>
    </x:border>
    <x:border>
      <x:left style="thin">
        <x:color rgb="FFB4C6E7"/>
      </x:left>
      <x:top style="thin">
        <x:color rgb="FFB4C6E7"/>
      </x:top>
    </x:border>
  </x:borders>
  <x:cellStyleXfs count="1">
    <x:xf numFmtId="0" fontId="0" fillId="0" borderId="0"/>
  </x:cellStyleXfs>
  <x:cellXfs count="13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0" fillId="5" borderId="0" xfId="0" applyNumberFormat="1" applyFont="1" applyFill="1" applyBorder="1"/>
    <x:xf numFmtId="0" fontId="0" fillId="5" borderId="4" xfId="0" applyNumberFormat="1" applyFont="1" applyFill="1" applyBorder="1"/>
    <x:xf numFmtId="0" fontId="0" fillId="5" borderId="5" xfId="0" applyNumberFormat="1" applyFont="1" applyFill="1" applyBorder="1"/>
    <x:xf numFmtId="0" fontId="0" fillId="5" borderId="6" xfId="0" applyNumberFormat="1" applyFont="1" applyFill="1" applyBorder="1"/>
    <x:xf numFmtId="0" fontId="0" fillId="5" borderId="4" xfId="0" applyNumberFormat="1" applyFont="1" applyFill="1" applyBorder="1" applyAlignment="1">
      <x:alignment wrapText="1"/>
    </x:xf>
    <x:xf numFmtId="0" fontId="0" fillId="5" borderId="5" xfId="0" applyNumberFormat="1" applyFont="1" applyFill="1" applyBorder="1" applyAlignment="1">
      <x:alignment wrapText="1"/>
    </x:xf>
    <x:xf numFmtId="0" fontId="0" fillId="5" borderId="6" xfId="0" applyNumberFormat="1" applyFont="1" applyFill="1" applyBorder="1" applyAlignment="1">
      <x:alignment wrapText="1"/>
    </x:xf>
    <x:xf numFmtId="0" fontId="0" fillId="6" borderId="0" xfId="0" applyNumberFormat="1" applyFont="1" applyFill="1" applyBorder="1"/>
    <x:xf numFmtId="0" fontId="0" fillId="6" borderId="4" xfId="0" applyNumberFormat="1" applyFont="1" applyFill="1" applyBorder="1"/>
    <x:xf numFmtId="0" fontId="0" fillId="6" borderId="5" xfId="0" applyNumberFormat="1" applyFont="1" applyFill="1" applyBorder="1"/>
    <x:xf numFmtId="0" fontId="0" fillId="6" borderId="6" xfId="0" applyNumberFormat="1" applyFont="1" applyFill="1" applyBorder="1"/>
    <x:xf numFmtId="0" fontId="0" fillId="6" borderId="4" xfId="0" applyNumberFormat="1" applyFont="1" applyFill="1" applyBorder="1" applyAlignment="1">
      <x:alignment wrapText="1"/>
    </x:xf>
    <x:xf numFmtId="0" fontId="0" fillId="6" borderId="5" xfId="0" applyNumberFormat="1" applyFont="1" applyFill="1" applyBorder="1" applyAlignment="1">
      <x:alignment wrapText="1"/>
    </x:xf>
    <x:xf numFmtId="0" fontId="0" fillId="6" borderId="6" xfId="0" applyNumberFormat="1" applyFont="1" applyFill="1" applyBorder="1" applyAlignment="1">
      <x:alignment wrapText="1"/>
    </x:xf>
    <x:xf numFmtId="200" fontId="0" fillId="5" borderId="4"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5" fillId="2" borderId="7" xfId="0" applyNumberFormat="1" applyFont="1" applyFill="1" applyBorder="1"/>
    <x:xf numFmtId="0" fontId="5" fillId="2" borderId="7" xfId="0" applyNumberFormat="1" applyFont="1" applyFill="1" applyBorder="1" applyAlignment="1">
      <x:alignment wrapText="1"/>
    </x:xf>
    <x:xf numFmtId="0" fontId="5" fillId="2" borderId="7" xfId="0" applyNumberFormat="1" applyFont="1" applyFill="1" applyBorder="1" applyAlignment="1">
      <x:alignment horizontal="center" wrapText="1"/>
    </x:xf>
    <x:xf numFmtId="0" fontId="5" fillId="2"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6" borderId="8" xfId="0" applyNumberFormat="1" applyFont="1" applyFill="1" applyBorder="1" applyAlignment="1">
      <x:alignment vertical="top" wrapText="1"/>
    </x:xf>
    <x:xf numFmtId="0" fontId="0" fillId="6" borderId="9" xfId="0" applyNumberFormat="1" applyFont="1" applyFill="1" applyBorder="1" applyAlignment="1">
      <x:alignment vertical="top" wrapText="1"/>
    </x:xf>
    <x:xf numFmtId="0" fontId="0" fillId="6" borderId="11"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14" xfId="0" applyNumberFormat="1" applyFont="1" applyFill="1" applyBorder="1" applyAlignment="1">
      <x:alignment vertical="top" wrapText="1"/>
    </x:xf>
    <x:xf numFmtId="0" fontId="0" fillId="6" borderId="15" xfId="0" applyNumberFormat="1" applyFont="1" applyFill="1" applyBorder="1" applyAlignment="1">
      <x:alignment vertical="top" wrapText="1"/>
    </x:xf>
    <x:xf numFmtId="0" fontId="0" fillId="5" borderId="9" xfId="0" applyNumberFormat="1" applyFont="1" applyFill="1" applyBorder="1" applyAlignment="1">
      <x:alignment vertical="top" wrapText="1"/>
    </x:xf>
    <x:xf numFmtId="0" fontId="0" fillId="5" borderId="12" xfId="0" applyNumberFormat="1" applyFont="1" applyFill="1" applyBorder="1" applyAlignment="1">
      <x:alignment vertical="top" wrapText="1"/>
    </x:xf>
    <x:xf numFmtId="0" fontId="0" fillId="5" borderId="15" xfId="0" applyNumberFormat="1" applyFont="1" applyFill="1" applyBorder="1" applyAlignment="1">
      <x:alignment vertical="top" wrapText="1"/>
    </x:xf>
    <x:xf numFmtId="0" fontId="0" fillId="4" borderId="9" xfId="0" applyNumberFormat="1" applyFont="1" applyFill="1" applyBorder="1" applyAlignment="1">
      <x:alignment vertical="top" wrapText="1"/>
    </x:xf>
    <x:xf numFmtId="0" fontId="0" fillId="4" borderId="12" xfId="0" applyNumberFormat="1" applyFont="1" applyFill="1" applyBorder="1" applyAlignment="1">
      <x:alignment vertical="top" wrapText="1"/>
    </x:xf>
    <x:xf numFmtId="0" fontId="0" fillId="4" borderId="15" xfId="0" applyNumberFormat="1" applyFont="1" applyFill="1" applyBorder="1" applyAlignment="1">
      <x:alignment vertical="top" wrapText="1"/>
    </x:xf>
    <x:xf numFmtId="0" fontId="0" fillId="7" borderId="9" xfId="0" applyNumberFormat="1" applyFont="1" applyFill="1" applyBorder="1" applyAlignment="1">
      <x:alignment vertical="top" wrapText="1"/>
    </x:xf>
    <x:xf numFmtId="0" fontId="0" fillId="7" borderId="10" xfId="0" applyNumberFormat="1" applyFont="1" applyFill="1" applyBorder="1" applyAlignment="1">
      <x:alignment vertical="top" wrapText="1"/>
    </x:xf>
    <x:xf numFmtId="0" fontId="0" fillId="7" borderId="12" xfId="0" applyNumberFormat="1" applyFont="1" applyFill="1" applyBorder="1" applyAlignment="1">
      <x:alignment vertical="top" wrapText="1"/>
    </x:xf>
    <x:xf numFmtId="0" fontId="0" fillId="7" borderId="13" xfId="0" applyNumberFormat="1" applyFont="1" applyFill="1" applyBorder="1" applyAlignment="1">
      <x:alignment vertical="top" wrapText="1"/>
    </x:xf>
    <x:xf numFmtId="0" fontId="0" fillId="7" borderId="15" xfId="0" applyNumberFormat="1" applyFont="1" applyFill="1" applyBorder="1" applyAlignment="1">
      <x:alignment vertical="top" wrapText="1"/>
    </x:xf>
    <x:xf numFmtId="0" fontId="0" fillId="7" borderId="16" xfId="0" applyNumberFormat="1" applyFont="1" applyFill="1" applyBorder="1" applyAlignment="1">
      <x:alignment vertical="top" wrapText="1"/>
    </x:xf>
    <x:xf numFmtId="200" fontId="0" fillId="5" borderId="9" xfId="0" applyNumberFormat="1" applyFont="1" applyFill="1" applyBorder="1" applyAlignment="1">
      <x:alignment vertical="top" wrapText="1"/>
    </x:xf>
    <x:xf numFmtId="200" fontId="0" fillId="5" borderId="12" xfId="0" applyNumberFormat="1" applyFont="1" applyFill="1" applyBorder="1" applyAlignment="1">
      <x:alignment vertical="top" wrapText="1"/>
    </x:xf>
    <x:xf numFmtId="200" fontId="0" fillId="5" borderId="15" xfId="0" applyNumberFormat="1" applyFont="1" applyFill="1" applyBorder="1" applyAlignment="1">
      <x:alignment vertical="top" wrapText="1"/>
    </x:xf>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4"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4" borderId="17" xfId="0" applyNumberFormat="1" applyFont="1" applyFill="1" applyBorder="1" applyAlignment="1">
      <x:alignment vertical="top" wrapText="1"/>
    </x:xf>
    <x:xf numFmtId="0" fontId="0" fillId="4" borderId="18" xfId="0" applyNumberFormat="1" applyFont="1" applyFill="1" applyBorder="1" applyAlignment="1">
      <x:alignment vertical="top" wrapText="1"/>
    </x:xf>
    <x:xf numFmtId="0" fontId="0" fillId="4" borderId="6" xfId="0" applyNumberFormat="1" applyFont="1" applyFill="1" applyBorder="1" applyAlignment="1">
      <x:alignment vertical="top" wrapText="1"/>
    </x:xf>
    <x:xf numFmtId="0" fontId="0" fillId="4" borderId="7" xfId="0" applyNumberFormat="1" applyFont="1" applyFill="1" applyBorder="1" applyAlignment="1">
      <x:alignment vertical="top" wrapText="1"/>
    </x:xf>
    <x:xf numFmtId="0" fontId="0" fillId="4" borderId="20" xfId="0" applyNumberFormat="1" applyFont="1" applyFill="1" applyBorder="1" applyAlignment="1">
      <x:alignment vertical="top" wrapText="1"/>
    </x:xf>
    <x:xf numFmtId="0" fontId="0" fillId="4" borderId="21" xfId="0" applyNumberFormat="1" applyFont="1" applyFill="1" applyBorder="1" applyAlignment="1">
      <x:alignment vertical="top" wrapText="1"/>
    </x:xf>
    <x:xf numFmtId="0" fontId="0" fillId="6" borderId="18" xfId="0" applyNumberFormat="1" applyFont="1" applyFill="1" applyBorder="1" applyAlignment="1">
      <x:alignment vertical="top" wrapText="1"/>
    </x:xf>
    <x:xf numFmtId="0" fontId="0" fillId="6" borderId="19" xfId="0" applyNumberFormat="1" applyFont="1" applyFill="1" applyBorder="1" applyAlignment="1">
      <x:alignment vertical="top" wrapText="1"/>
    </x:xf>
    <x:xf numFmtId="0" fontId="0" fillId="6" borderId="7" xfId="0" applyNumberFormat="1" applyFont="1" applyFill="1" applyBorder="1" applyAlignment="1">
      <x:alignment vertical="top" wrapText="1"/>
    </x:xf>
    <x:xf numFmtId="0" fontId="0" fillId="6" borderId="4" xfId="0" applyNumberFormat="1" applyFont="1" applyFill="1" applyBorder="1" applyAlignment="1">
      <x:alignment vertical="top" wrapText="1"/>
    </x:xf>
    <x:xf numFmtId="0" fontId="0" fillId="6" borderId="21" xfId="0" applyNumberFormat="1" applyFont="1" applyFill="1" applyBorder="1" applyAlignment="1">
      <x:alignment vertical="top" wrapText="1"/>
    </x:xf>
    <x:xf numFmtId="0" fontId="0" fillId="6" borderId="22" xfId="0" applyNumberFormat="1" applyFont="1" applyFill="1" applyBorder="1" applyAlignment="1">
      <x:alignment vertical="top" wrapText="1"/>
    </x:xf>
    <x:xf numFmtId="0" fontId="0" fillId="0" borderId="0" xfId="0" applyNumberFormat="1" applyFont="1" applyFill="1" applyBorder="1"/>
  </x:cellXfs>
  <x:cellStyles count="1">
    <x:cellStyle name="Normal" xfId="0"/>
  </x:cellStyles>
  <x:dxfs count="3">
    <x:dxf>
      <x:font>
        <x:b/>
        <x:color rgb="FF375623"/>
      </x:font>
      <x:fill>
        <x:patternFill>
          <x:bgColor rgb="FFE2F0D9"/>
        </x:patternFill>
      </x:fill>
    </x:dxf>
    <x:dxf>
      <x:font>
        <x:b/>
        <x:color rgb="FF375623"/>
      </x:font>
      <x:fill>
        <x:patternFill>
          <x:bgColor rgb="FFE2F0D9"/>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2bb5c11545f48e7" /><Relationship Type="http://schemas.openxmlformats.org/officeDocument/2006/relationships/theme" Target="/xl/theme/theme1.xml" Id="Rfc58505aef434569" /><Relationship Type="http://schemas.openxmlformats.org/officeDocument/2006/relationships/sharedStrings" Target="/xl/sharedStrings.xml" Id="R7a274c8a6c554482" /><Relationship Type="http://schemas.openxmlformats.org/officeDocument/2006/relationships/worksheet" Target="/xl/worksheets/sheet1.xml" Id="Rd25b6c1b27ad40d5" /><Relationship Type="http://schemas.openxmlformats.org/officeDocument/2006/relationships/worksheet" Target="/xl/worksheets/sheet2.xml" Id="R14a00461d59f43e8" /><Relationship Type="http://schemas.openxmlformats.org/officeDocument/2006/relationships/worksheet" Target="/xl/worksheets/sheet3.xml" Id="Rf5ca97a38ce84618" /><Relationship Type="http://schemas.openxmlformats.org/officeDocument/2006/relationships/worksheet" Target="/xl/worksheets/sheet4.xml" Id="R9ce4967480f844f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4" t="str">
        <x:v>PIL D1：受影响案例修订后复确认</x:v>
      </x:c>
      <x:c r="B1" s="4" t="str">
        <x:v>PIL D1：受影响案例修订后复确认</x:v>
      </x:c>
      <x:c r="C1" s="4" t="str">
        <x:v>PIL D1：受影响案例修订后复确认</x:v>
      </x:c>
      <x:c r="D1" s="4" t="str">
        <x:v>PIL D1：受影响案例修订后复确认</x:v>
      </x:c>
      <x:c r="E1" s="4" t="str">
        <x:v>PIL D1：受影响案例修订后复确认</x:v>
      </x:c>
      <x:c r="F1" s="4" t="str">
        <x:v>PIL D1：受影响案例修订后复确认</x:v>
      </x:c>
      <x:c r="G1" s="4" t="str">
        <x:v>PIL D1：受影响案例修订后复确认</x:v>
      </x:c>
      <x:c r="H1" s="4" t="str">
        <x:v>PIL D1：受影响案例修订后复确认</x:v>
      </x:c>
    </x:row>
    <x:row r="2">
      <x:c r="A2" s="7" t="str">
        <x:v>仅复确认 C2 已共同提出案情修订的 5 个案例；这一步完成后才能改写推理数据集并冻结最终 gold。</x:v>
      </x:c>
      <x:c r="B2" s="7" t="str">
        <x:v>仅复确认 C2 已共同提出案情修订的 5 个案例；这一步完成后才能改写推理数据集并冻结最终 gold。</x:v>
      </x:c>
      <x:c r="C2" s="7" t="str">
        <x:v>仅复确认 C2 已共同提出案情修订的 5 个案例；这一步完成后才能改写推理数据集并冻结最终 gold。</x:v>
      </x:c>
      <x:c r="D2" s="7" t="str">
        <x:v>仅复确认 C2 已共同提出案情修订的 5 个案例；这一步完成后才能改写推理数据集并冻结最终 gold。</x:v>
      </x:c>
      <x:c r="E2" s="7" t="str">
        <x:v>仅复确认 C2 已共同提出案情修订的 5 个案例；这一步完成后才能改写推理数据集并冻结最终 gold。</x:v>
      </x:c>
      <x:c r="F2" s="7" t="str">
        <x:v>仅复确认 C2 已共同提出案情修订的 5 个案例；这一步完成后才能改写推理数据集并冻结最终 gold。</x:v>
      </x:c>
      <x:c r="G2" s="7" t="str">
        <x:v>仅复确认 C2 已共同提出案情修订的 5 个案例；这一步完成后才能改写推理数据集并冻结最终 gold。</x:v>
      </x:c>
      <x:c r="H2" s="7" t="str">
        <x:v>仅复确认 C2 已共同提出案情修订的 5 个案例；这一步完成后才能改写推理数据集并冻结最终 gold。</x:v>
      </x:c>
    </x:row>
    <x:row r="4" ht="38" customHeight="1">
      <x:c r="A4" s="11" t="str">
        <x:v>用途</x:v>
      </x:c>
      <x:c r="B4" s="18" t="str">
        <x:v>确认完整修订案情是否准确，以及修订后的最终结论、法院/机关和管辖类型。</x:v>
      </x:c>
      <x:c r="C4" s="19"/>
      <x:c r="D4" s="19"/>
      <x:c r="E4" s="19"/>
      <x:c r="F4" s="19"/>
      <x:c r="G4" s="19"/>
      <x:c r="H4" s="20"/>
    </x:row>
    <x:row r="5" ht="38" customHeight="1">
      <x:c r="A5" s="11" t="str">
        <x:v>为什么还要确认</x:v>
      </x:c>
      <x:c r="B5" s="18" t="str">
        <x:v>C2 确认的是“需要修订”和修订方向；最终实验将使用完整的新案情，因此必须让两位评审明确确认新文本和对应标签。</x:v>
      </x:c>
      <x:c r="C5" s="19"/>
      <x:c r="D5" s="19"/>
      <x:c r="E5" s="19"/>
      <x:c r="F5" s="19"/>
      <x:c r="G5" s="19"/>
      <x:c r="H5" s="20"/>
    </x:row>
    <x:row r="6" ht="38" customHeight="1">
      <x:c r="A6" s="11" t="str">
        <x:v>标签修复</x:v>
      </x:c>
      <x:c r="B6" s="18" t="str">
        <x:v>其中 2 例暴露现有本体缺口：EUIPO 不是法院；Art.30 related actions 不是 Art.29 强制 lis pendens。请明确接受或拒绝建议的新标签。</x:v>
      </x:c>
      <x:c r="C6" s="19"/>
      <x:c r="D6" s="19"/>
      <x:c r="E6" s="19"/>
      <x:c r="F6" s="19"/>
      <x:c r="G6" s="19"/>
      <x:c r="H6" s="20"/>
    </x:row>
    <x:row r="7" ht="38" customHeight="1">
      <x:c r="A7" s="11" t="str">
        <x:v>允许材料</x:v>
      </x:c>
      <x:c r="B7" s="18" t="str">
        <x:v>EUR-Lex 官方条例文本和 CURIA/EUR-Lex 官方判例。</x:v>
      </x:c>
      <x:c r="C7" s="19"/>
      <x:c r="D7" s="19"/>
      <x:c r="E7" s="19"/>
      <x:c r="F7" s="19"/>
      <x:c r="G7" s="19"/>
      <x:c r="H7" s="20"/>
    </x:row>
    <x:row r="8" ht="38" customHeight="1">
      <x:c r="A8" s="11" t="str">
        <x:v>禁止材料</x:v>
      </x:c>
      <x:c r="B8" s="18" t="str">
        <x:v>旧 gold、模型输出、实验评分、自动解析和项目知识库标签。</x:v>
      </x:c>
      <x:c r="C8" s="19"/>
      <x:c r="D8" s="19"/>
      <x:c r="E8" s="19"/>
      <x:c r="F8" s="19"/>
      <x:c r="G8" s="19"/>
      <x:c r="H8" s="20"/>
    </x:row>
    <x:row r="9" ht="38" customHeight="1">
      <x:c r="A9" s="11" t="str">
        <x:v>填写方法</x:v>
      </x:c>
      <x:c r="B9" s="18" t="str">
        <x:v>核对蓝色/灰色信息，只修改黄色单元格。若不同意草案，请直接在“最终采用的修订案情”中改成双方认可的完整文本。</x:v>
      </x:c>
      <x:c r="C9" s="19"/>
      <x:c r="D9" s="19"/>
      <x:c r="E9" s="19"/>
      <x:c r="F9" s="19"/>
      <x:c r="G9" s="19"/>
      <x:c r="H9" s="20"/>
    </x:row>
    <x:row r="10" ht="38" customHeight="1">
      <x:c r="A10" s="11" t="str">
        <x:v>完成判据</x:v>
      </x:c>
      <x:c r="B10" s="18" t="str">
        <x:v>每行一致性检查为“通过”，R1/R2 均确认 yes，确认日期完整，完成状态为“已确认”。</x:v>
      </x:c>
      <x:c r="C10" s="19"/>
      <x:c r="D10" s="19"/>
      <x:c r="E10" s="19"/>
      <x:c r="F10" s="19"/>
      <x:c r="G10" s="19"/>
      <x:c r="H10" s="20"/>
    </x:row>
    <x:row r="11" ht="38" customHeight="1">
      <x:c r="A11" s="11" t="str">
        <x:v>当前完成度</x:v>
      </x:c>
      <x:c r="B11" s="22" t="str">
        <x:f>COUNTIF('修订后复确认'!$AA$6:$AA$10,"已确认")&amp;" / 5"</x:f>
        <x:v>5 / 5</x:v>
      </x:c>
      <x:c r="C11" s="19"/>
      <x:c r="D11" s="19"/>
      <x:c r="E11" s="19"/>
      <x:c r="F11" s="19"/>
      <x:c r="G11" s="19"/>
      <x:c r="H11" s="20"/>
    </x:row>
    <x:row r="12" ht="38" customHeight="1"/>
    <x:row r="13" ht="38" customHeight="1">
      <x:c r="A13" s="24" t="str">
        <x:v>联合确认</x:v>
      </x:c>
      <x:c r="B13" s="24" t="str">
        <x:v>联合确认</x:v>
      </x:c>
      <x:c r="C13" s="24" t="str">
        <x:v>联合确认</x:v>
      </x:c>
      <x:c r="D13" s="24" t="str">
        <x:v>联合确认</x:v>
      </x:c>
      <x:c r="E13" s="24" t="str">
        <x:v>联合确认</x:v>
      </x:c>
      <x:c r="F13" s="24" t="str">
        <x:v>联合确认</x:v>
      </x:c>
      <x:c r="G13" s="24" t="str">
        <x:v>联合确认</x:v>
      </x:c>
      <x:c r="H13" s="24" t="str">
        <x:v>联合确认</x:v>
      </x:c>
    </x:row>
    <x:row r="14" ht="38" customHeight="1">
      <x:c r="A14" s="9" t="str">
        <x:v>R1 姓名或编号</x:v>
      </x:c>
      <x:c r="B14" s="29" t="str">
        <x:v>xingyue yang</x:v>
      </x:c>
      <x:c r="C14" s="30"/>
      <x:c r="D14" s="30"/>
      <x:c r="E14" s="30"/>
      <x:c r="F14" s="30"/>
      <x:c r="G14" s="30"/>
      <x:c r="H14" s="31"/>
    </x:row>
    <x:row r="15" ht="38" customHeight="1">
      <x:c r="A15" s="9" t="str">
        <x:v>R2 姓名或编号</x:v>
      </x:c>
      <x:c r="B15" s="29" t="str">
        <x:v>YiRui Wang</x:v>
      </x:c>
      <x:c r="C15" s="30"/>
      <x:c r="D15" s="30"/>
      <x:c r="E15" s="30"/>
      <x:c r="F15" s="30"/>
      <x:c r="G15" s="30"/>
      <x:c r="H15" s="31"/>
    </x:row>
    <x:row r="16" ht="38" customHeight="1">
      <x:c r="A16" s="9" t="str">
        <x:v>完成日期</x:v>
      </x:c>
      <x:c r="B16" s="39" t="n">
        <x:v>46269</x:v>
      </x:c>
      <x:c r="C16" s="30"/>
      <x:c r="D16" s="30"/>
      <x:c r="E16" s="30"/>
      <x:c r="F16" s="30"/>
      <x:c r="G16" s="30"/>
      <x:c r="H16" s="31"/>
    </x:row>
    <x:row r="17" ht="38" customHeight="1">
      <x:c r="A17" s="9" t="str">
        <x:v>联合声明</x:v>
      </x:c>
      <x:c r="B17" s="36" t="str">
        <x:v>我们确认最终采用的修订案情和标签均依据权威法源共同复核；未查看模型输出或实验评分。</x:v>
      </x:c>
      <x:c r="C17" s="37"/>
      <x:c r="D17" s="37"/>
      <x:c r="E17" s="37"/>
      <x:c r="F17" s="37"/>
      <x:c r="G17" s="37"/>
      <x:c r="H17" s="38"/>
    </x:row>
    <x:row r="18" ht="38" customHeight="1"/>
    <x:row r="19" ht="38" customHeight="1">
      <x:c r="A19" s="24" t="str">
        <x:v>提交前检查</x:v>
      </x:c>
      <x:c r="B19" s="24" t="str">
        <x:v>提交前检查</x:v>
      </x:c>
      <x:c r="C19" s="24" t="str">
        <x:v>提交前检查</x:v>
      </x:c>
      <x:c r="D19" s="24" t="str">
        <x:v>提交前检查</x:v>
      </x:c>
      <x:c r="E19" s="24" t="str">
        <x:v>提交前检查</x:v>
      </x:c>
      <x:c r="F19" s="24" t="str">
        <x:v>提交前检查</x:v>
      </x:c>
      <x:c r="G19" s="24" t="str">
        <x:v>提交前检查</x:v>
      </x:c>
      <x:c r="H19" s="24" t="str">
        <x:v>提交前检查</x:v>
      </x:c>
    </x:row>
    <x:row r="20" ht="38" customHeight="1">
      <x:c r="A20" s="41" t="str">
        <x:v>1. 5 行均确认完整修订案情；2. 两个标签缺口明确接受或拒绝；3. 最终标签字段完整；4. R1/R2 均确认；5. 完成度为 5 / 5；6. 保持 .xlsx 格式回传。</x:v>
      </x:c>
      <x:c r="B20" s="41" t="str">
        <x:v>1. 5 行均确认完整修订案情；2. 两个标签缺口明确接受或拒绝；3. 最终标签字段完整；4. R1/R2 均确认；5. 完成度为 5 / 5；6. 保持 .xlsx 格式回传。</x:v>
      </x:c>
      <x:c r="C20" s="41" t="str">
        <x:v>1. 5 行均确认完整修订案情；2. 两个标签缺口明确接受或拒绝；3. 最终标签字段完整；4. R1/R2 均确认；5. 完成度为 5 / 5；6. 保持 .xlsx 格式回传。</x:v>
      </x:c>
      <x:c r="D20" s="41" t="str">
        <x:v>1. 5 行均确认完整修订案情；2. 两个标签缺口明确接受或拒绝；3. 最终标签字段完整；4. R1/R2 均确认；5. 完成度为 5 / 5；6. 保持 .xlsx 格式回传。</x:v>
      </x:c>
      <x:c r="E20" s="41" t="str">
        <x:v>1. 5 行均确认完整修订案情；2. 两个标签缺口明确接受或拒绝；3. 最终标签字段完整；4. R1/R2 均确认；5. 完成度为 5 / 5；6. 保持 .xlsx 格式回传。</x:v>
      </x:c>
      <x:c r="F20" s="41" t="str">
        <x:v>1. 5 行均确认完整修订案情；2. 两个标签缺口明确接受或拒绝；3. 最终标签字段完整；4. R1/R2 均确认；5. 完成度为 5 / 5；6. 保持 .xlsx 格式回传。</x:v>
      </x:c>
      <x:c r="G20" s="41" t="str">
        <x:v>1. 5 行均确认完整修订案情；2. 两个标签缺口明确接受或拒绝；3. 最终标签字段完整；4. R1/R2 均确认；5. 完成度为 5 / 5；6. 保持 .xlsx 格式回传。</x:v>
      </x:c>
      <x:c r="H20" s="41" t="str">
        <x:v>1. 5 行均确认完整修订案情；2. 两个标签缺口明确接受或拒绝；3. 最终标签字段完整；4. R1/R2 均确认；5. 完成度为 5 / 5；6. 保持 .xlsx 格式回传。</x:v>
      </x:c>
    </x:row>
    <x:row r="21" ht="38" customHeight="1">
      <x:c r="A21" s="41" t="str">
        <x:v>1. 5 行均确认完整修订案情；2. 两个标签缺口明确接受或拒绝；3. 最终标签字段完整；4. R1/R2 均确认；5. 完成度为 5 / 5；6. 保持 .xlsx 格式回传。</x:v>
      </x:c>
      <x:c r="B21" s="41" t="str">
        <x:v>1. 5 行均确认完整修订案情；2. 两个标签缺口明确接受或拒绝；3. 最终标签字段完整；4. R1/R2 均确认；5. 完成度为 5 / 5；6. 保持 .xlsx 格式回传。</x:v>
      </x:c>
      <x:c r="C21" s="41" t="str">
        <x:v>1. 5 行均确认完整修订案情；2. 两个标签缺口明确接受或拒绝；3. 最终标签字段完整；4. R1/R2 均确认；5. 完成度为 5 / 5；6. 保持 .xlsx 格式回传。</x:v>
      </x:c>
      <x:c r="D21" s="41" t="str">
        <x:v>1. 5 行均确认完整修订案情；2. 两个标签缺口明确接受或拒绝；3. 最终标签字段完整；4. R1/R2 均确认；5. 完成度为 5 / 5；6. 保持 .xlsx 格式回传。</x:v>
      </x:c>
      <x:c r="E21" s="41" t="str">
        <x:v>1. 5 行均确认完整修订案情；2. 两个标签缺口明确接受或拒绝；3. 最终标签字段完整；4. R1/R2 均确认；5. 完成度为 5 / 5；6. 保持 .xlsx 格式回传。</x:v>
      </x:c>
      <x:c r="F21" s="41" t="str">
        <x:v>1. 5 行均确认完整修订案情；2. 两个标签缺口明确接受或拒绝；3. 最终标签字段完整；4. R1/R2 均确认；5. 完成度为 5 / 5；6. 保持 .xlsx 格式回传。</x:v>
      </x:c>
      <x:c r="G21" s="41" t="str">
        <x:v>1. 5 行均确认完整修订案情；2. 两个标签缺口明确接受或拒绝；3. 最终标签字段完整；4. R1/R2 均确认；5. 完成度为 5 / 5；6. 保持 .xlsx 格式回传。</x:v>
      </x:c>
      <x:c r="H21" s="41" t="str">
        <x:v>1. 5 行均确认完整修订案情；2. 两个标签缺口明确接受或拒绝；3. 最终标签字段完整；4. R1/R2 均确认；5. 完成度为 5 / 5；6. 保持 .xlsx 格式回传。</x:v>
      </x:c>
    </x:row>
    <x:row r="22" ht="38" customHeight="1">
      <x:c r="A22" s="41" t="str">
        <x:v>1. 5 行均确认完整修订案情；2. 两个标签缺口明确接受或拒绝；3. 最终标签字段完整；4. R1/R2 均确认；5. 完成度为 5 / 5；6. 保持 .xlsx 格式回传。</x:v>
      </x:c>
      <x:c r="B22" s="41" t="str">
        <x:v>1. 5 行均确认完整修订案情；2. 两个标签缺口明确接受或拒绝；3. 最终标签字段完整；4. R1/R2 均确认；5. 完成度为 5 / 5；6. 保持 .xlsx 格式回传。</x:v>
      </x:c>
      <x:c r="C22" s="41" t="str">
        <x:v>1. 5 行均确认完整修订案情；2. 两个标签缺口明确接受或拒绝；3. 最终标签字段完整；4. R1/R2 均确认；5. 完成度为 5 / 5；6. 保持 .xlsx 格式回传。</x:v>
      </x:c>
      <x:c r="D22" s="41" t="str">
        <x:v>1. 5 行均确认完整修订案情；2. 两个标签缺口明确接受或拒绝；3. 最终标签字段完整；4. R1/R2 均确认；5. 完成度为 5 / 5；6. 保持 .xlsx 格式回传。</x:v>
      </x:c>
      <x:c r="E22" s="41" t="str">
        <x:v>1. 5 行均确认完整修订案情；2. 两个标签缺口明确接受或拒绝；3. 最终标签字段完整；4. R1/R2 均确认；5. 完成度为 5 / 5；6. 保持 .xlsx 格式回传。</x:v>
      </x:c>
      <x:c r="F22" s="41" t="str">
        <x:v>1. 5 行均确认完整修订案情；2. 两个标签缺口明确接受或拒绝；3. 最终标签字段完整；4. R1/R2 均确认；5. 完成度为 5 / 5；6. 保持 .xlsx 格式回传。</x:v>
      </x:c>
      <x:c r="G22" s="41" t="str">
        <x:v>1. 5 行均确认完整修订案情；2. 两个标签缺口明确接受或拒绝；3. 最终标签字段完整；4. R1/R2 均确认；5. 完成度为 5 / 5；6. 保持 .xlsx 格式回传。</x:v>
      </x:c>
      <x:c r="H22" s="41" t="str">
        <x:v>1. 5 行均确认完整修订案情；2. 两个标签缺口明确接受或拒绝；3. 最终标签字段完整；4. R1/R2 均确认；5. 完成度为 5 / 5；6. 保持 .xlsx 格式回传。</x:v>
      </x:c>
    </x:row>
  </x:sheetData>
  <x:mergeCells>
    <x:mergeCell ref="A1:H1"/>
    <x:mergeCell ref="A2:H2"/>
    <x:mergeCell ref="B4:H4"/>
    <x:mergeCell ref="B5:H5"/>
    <x:mergeCell ref="B6:H6"/>
    <x:mergeCell ref="B7:H7"/>
    <x:mergeCell ref="B8:H8"/>
    <x:mergeCell ref="B9:H9"/>
    <x:mergeCell ref="B10:H10"/>
    <x:mergeCell ref="B11:H11"/>
    <x:mergeCell ref="A13:H13"/>
    <x:mergeCell ref="B14:H14"/>
    <x:mergeCell ref="B15:H15"/>
    <x:mergeCell ref="B16:H16"/>
    <x:mergeCell ref="B17:H17"/>
    <x:mergeCell ref="A19:H19"/>
    <x:mergeCell ref="A20:H22"/>
  </x:mergeCells>
  <x:conditionalFormatting sqref="B11:B11">
    <x:cfRule type="containsText" dxfId="0" priority="1" operator="containsText" text="5 / 5"/>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8" hidden="0" customWidth="1"/>
    <x:col min="3" max="3" width="18" hidden="0" customWidth="1"/>
    <x:col min="4" max="4" width="48" hidden="0" customWidth="1"/>
    <x:col min="5" max="5" width="42" hidden="0" customWidth="1"/>
    <x:col min="6" max="6" width="58" hidden="0" customWidth="1"/>
    <x:col min="7" max="7" width="58" hidden="0" customWidth="1"/>
    <x:col min="8" max="8" width="15" hidden="0" customWidth="1"/>
    <x:col min="9" max="9" width="42" hidden="0" customWidth="1"/>
    <x:col min="10" max="10" width="56" hidden="0" customWidth="1"/>
    <x:col min="11" max="11" width="16" hidden="0" customWidth="1"/>
    <x:col min="12" max="12" width="36" hidden="0" customWidth="1"/>
    <x:col min="13" max="13" width="28" hidden="0" customWidth="1"/>
    <x:col min="14" max="14" width="24" hidden="0" customWidth="1"/>
    <x:col min="15" max="15" width="24" hidden="0" customWidth="1"/>
    <x:col min="16" max="16" width="14" hidden="0" customWidth="1"/>
    <x:col min="17" max="17" width="14" hidden="0" customWidth="1"/>
    <x:col min="18" max="18" width="35" hidden="0" customWidth="1"/>
    <x:col min="19" max="19" width="40" hidden="0" customWidth="1"/>
    <x:col min="20" max="20" width="13" hidden="0" customWidth="1"/>
    <x:col min="21" max="21" width="11" hidden="0" customWidth="1"/>
    <x:col min="22" max="22" width="48" hidden="0" customWidth="1"/>
    <x:col min="23" max="23" width="11" hidden="0" customWidth="1"/>
    <x:col min="24" max="24" width="11" hidden="0" customWidth="1"/>
    <x:col min="25" max="25" width="14" hidden="0" customWidth="1"/>
    <x:col min="26" max="26" width="20" hidden="0" customWidth="1"/>
    <x:col min="27" max="27" width="14" hidden="0" customWidth="1"/>
  </x:cols>
  <x:sheetData>
    <x:row r="1" ht="34" customHeight="1">
      <x:c r="A1" s="4" t="str">
        <x:v>PIL D1：修订后复确认（黄色单元格）</x:v>
      </x:c>
      <x:c r="B1" s="4" t="str">
        <x:v>PIL D1：修订后复确认（黄色单元格）</x:v>
      </x:c>
      <x:c r="C1" s="4" t="str">
        <x:v>PIL D1：修订后复确认（黄色单元格）</x:v>
      </x:c>
      <x:c r="D1" s="4" t="str">
        <x:v>PIL D1：修订后复确认（黄色单元格）</x:v>
      </x:c>
      <x:c r="E1" s="4" t="str">
        <x:v>PIL D1：修订后复确认（黄色单元格）</x:v>
      </x:c>
      <x:c r="F1" s="4" t="str">
        <x:v>PIL D1：修订后复确认（黄色单元格）</x:v>
      </x:c>
      <x:c r="G1" s="4" t="str">
        <x:v>PIL D1：修订后复确认（黄色单元格）</x:v>
      </x:c>
      <x:c r="H1" s="4" t="str">
        <x:v>PIL D1：修订后复确认（黄色单元格）</x:v>
      </x:c>
      <x:c r="I1" s="4" t="str">
        <x:v>PIL D1：修订后复确认（黄色单元格）</x:v>
      </x:c>
      <x:c r="J1" s="4" t="str">
        <x:v>PIL D1：修订后复确认（黄色单元格）</x:v>
      </x:c>
      <x:c r="K1" s="4" t="str">
        <x:v>PIL D1：修订后复确认（黄色单元格）</x:v>
      </x:c>
      <x:c r="L1" s="4" t="str">
        <x:v>PIL D1：修订后复确认（黄色单元格）</x:v>
      </x:c>
      <x:c r="M1" s="4" t="str">
        <x:v>PIL D1：修订后复确认（黄色单元格）</x:v>
      </x:c>
      <x:c r="N1" s="4" t="str">
        <x:v>PIL D1：修订后复确认（黄色单元格）</x:v>
      </x:c>
      <x:c r="O1" s="4" t="str">
        <x:v>PIL D1：修订后复确认（黄色单元格）</x:v>
      </x:c>
      <x:c r="P1" s="4" t="str">
        <x:v>PIL D1：修订后复确认（黄色单元格）</x:v>
      </x:c>
      <x:c r="Q1" s="4" t="str">
        <x:v>PIL D1：修订后复确认（黄色单元格）</x:v>
      </x:c>
      <x:c r="R1" s="4" t="str">
        <x:v>PIL D1：修订后复确认（黄色单元格）</x:v>
      </x:c>
      <x:c r="S1" s="4" t="str">
        <x:v>PIL D1：修订后复确认（黄色单元格）</x:v>
      </x:c>
      <x:c r="T1" s="4" t="str">
        <x:v>PIL D1：修订后复确认（黄色单元格）</x:v>
      </x:c>
      <x:c r="U1" s="4" t="str">
        <x:v>PIL D1：修订后复确认（黄色单元格）</x:v>
      </x:c>
      <x:c r="V1" s="4" t="str">
        <x:v>PIL D1：修订后复确认（黄色单元格）</x:v>
      </x:c>
      <x:c r="W1" s="4" t="str">
        <x:v>PIL D1：修订后复确认（黄色单元格）</x:v>
      </x:c>
      <x:c r="X1" s="4" t="str">
        <x:v>PIL D1：修订后复确认（黄色单元格）</x:v>
      </x:c>
      <x:c r="Y1" s="4" t="str">
        <x:v>PIL D1：修订后复确认（黄色单元格）</x:v>
      </x:c>
      <x:c r="Z1" s="4" t="str">
        <x:v>PIL D1：修订后复确认（黄色单元格）</x:v>
      </x:c>
      <x:c r="AA1" s="4" t="str">
        <x:v>PIL D1：修订后复确认（黄色单元格）</x:v>
      </x:c>
    </x:row>
    <x:row r="2">
      <x:c r="A2" s="7" t="str">
        <x:v>请共同确认完整新案情及其最终标签。F 列是根据 C2 建议整理的草案；G 列为最终将进入数据集的文字。</x:v>
      </x:c>
      <x:c r="B2" s="7" t="str">
        <x:v>请共同确认完整新案情及其最终标签。F 列是根据 C2 建议整理的草案；G 列为最终将进入数据集的文字。</x:v>
      </x:c>
      <x:c r="C2" s="7" t="str">
        <x:v>请共同确认完整新案情及其最终标签。F 列是根据 C2 建议整理的草案；G 列为最终将进入数据集的文字。</x:v>
      </x:c>
      <x:c r="D2" s="7" t="str">
        <x:v>请共同确认完整新案情及其最终标签。F 列是根据 C2 建议整理的草案；G 列为最终将进入数据集的文字。</x:v>
      </x:c>
      <x:c r="E2" s="7" t="str">
        <x:v>请共同确认完整新案情及其最终标签。F 列是根据 C2 建议整理的草案；G 列为最终将进入数据集的文字。</x:v>
      </x:c>
      <x:c r="F2" s="7" t="str">
        <x:v>请共同确认完整新案情及其最终标签。F 列是根据 C2 建议整理的草案；G 列为最终将进入数据集的文字。</x:v>
      </x:c>
      <x:c r="G2" s="7" t="str">
        <x:v>请共同确认完整新案情及其最终标签。F 列是根据 C2 建议整理的草案；G 列为最终将进入数据集的文字。</x:v>
      </x:c>
      <x:c r="H2" s="7" t="str">
        <x:v>请共同确认完整新案情及其最终标签。F 列是根据 C2 建议整理的草案；G 列为最终将进入数据集的文字。</x:v>
      </x:c>
      <x:c r="I2" s="7" t="str">
        <x:v>请共同确认完整新案情及其最终标签。F 列是根据 C2 建议整理的草案；G 列为最终将进入数据集的文字。</x:v>
      </x:c>
      <x:c r="J2" s="7" t="str">
        <x:v>请共同确认完整新案情及其最终标签。F 列是根据 C2 建议整理的草案；G 列为最终将进入数据集的文字。</x:v>
      </x:c>
      <x:c r="K2" s="7" t="str">
        <x:v>请共同确认完整新案情及其最终标签。F 列是根据 C2 建议整理的草案；G 列为最终将进入数据集的文字。</x:v>
      </x:c>
      <x:c r="L2" s="7" t="str">
        <x:v>请共同确认完整新案情及其最终标签。F 列是根据 C2 建议整理的草案；G 列为最终将进入数据集的文字。</x:v>
      </x:c>
      <x:c r="M2" s="7" t="str">
        <x:v>请共同确认完整新案情及其最终标签。F 列是根据 C2 建议整理的草案；G 列为最终将进入数据集的文字。</x:v>
      </x:c>
      <x:c r="N2" s="7" t="str">
        <x:v>请共同确认完整新案情及其最终标签。F 列是根据 C2 建议整理的草案；G 列为最终将进入数据集的文字。</x:v>
      </x:c>
      <x:c r="O2" s="7" t="str">
        <x:v>请共同确认完整新案情及其最终标签。F 列是根据 C2 建议整理的草案；G 列为最终将进入数据集的文字。</x:v>
      </x:c>
      <x:c r="P2" s="7" t="str">
        <x:v>请共同确认完整新案情及其最终标签。F 列是根据 C2 建议整理的草案；G 列为最终将进入数据集的文字。</x:v>
      </x:c>
      <x:c r="Q2" s="7" t="str">
        <x:v>请共同确认完整新案情及其最终标签。F 列是根据 C2 建议整理的草案；G 列为最终将进入数据集的文字。</x:v>
      </x:c>
      <x:c r="R2" s="7" t="str">
        <x:v>请共同确认完整新案情及其最终标签。F 列是根据 C2 建议整理的草案；G 列为最终将进入数据集的文字。</x:v>
      </x:c>
      <x:c r="S2" s="7" t="str">
        <x:v>请共同确认完整新案情及其最终标签。F 列是根据 C2 建议整理的草案；G 列为最终将进入数据集的文字。</x:v>
      </x:c>
      <x:c r="T2" s="7" t="str">
        <x:v>请共同确认完整新案情及其最终标签。F 列是根据 C2 建议整理的草案；G 列为最终将进入数据集的文字。</x:v>
      </x:c>
      <x:c r="U2" s="7" t="str">
        <x:v>请共同确认完整新案情及其最终标签。F 列是根据 C2 建议整理的草案；G 列为最终将进入数据集的文字。</x:v>
      </x:c>
      <x:c r="V2" s="7" t="str">
        <x:v>请共同确认完整新案情及其最终标签。F 列是根据 C2 建议整理的草案；G 列为最终将进入数据集的文字。</x:v>
      </x:c>
      <x:c r="W2" s="7" t="str">
        <x:v>请共同确认完整新案情及其最终标签。F 列是根据 C2 建议整理的草案；G 列为最终将进入数据集的文字。</x:v>
      </x:c>
      <x:c r="X2" s="7" t="str">
        <x:v>请共同确认完整新案情及其最终标签。F 列是根据 C2 建议整理的草案；G 列为最终将进入数据集的文字。</x:v>
      </x:c>
      <x:c r="Y2" s="7" t="str">
        <x:v>请共同确认完整新案情及其最终标签。F 列是根据 C2 建议整理的草案；G 列为最终将进入数据集的文字。</x:v>
      </x:c>
      <x:c r="Z2" s="7" t="str">
        <x:v>请共同确认完整新案情及其最终标签。F 列是根据 C2 建议整理的草案；G 列为最终将进入数据集的文字。</x:v>
      </x:c>
      <x:c r="AA2" s="7" t="str">
        <x:v>请共同确认完整新案情及其最终标签。F 列是根据 C2 建议整理的草案；G 列为最终将进入数据集的文字。</x:v>
      </x:c>
    </x:row>
    <x:row r="5" ht="44" customHeight="1">
      <x:c r="A5" s="45" t="str">
        <x:v>序号</x:v>
      </x:c>
      <x:c r="B5" s="45" t="str">
        <x:v>复确认编号</x:v>
      </x:c>
      <x:c r="C5" s="45" t="str">
        <x:v>原共识编号</x:v>
      </x:c>
      <x:c r="D5" s="45" t="str">
        <x:v>原案情事实</x:v>
      </x:c>
      <x:c r="E5" s="45" t="str">
        <x:v>C2 修订方向</x:v>
      </x:c>
      <x:c r="F5" s="45" t="str">
        <x:v>完整修订案情草案</x:v>
      </x:c>
      <x:c r="G5" s="45" t="str">
        <x:v>最终采用的修订案情</x:v>
      </x:c>
      <x:c r="H5" s="45" t="str">
        <x:v>确认修订案情</x:v>
      </x:c>
      <x:c r="I5" s="45" t="str">
        <x:v>标签缺口</x:v>
      </x:c>
      <x:c r="J5" s="45" t="str">
        <x:v>标签修复建议</x:v>
      </x:c>
      <x:c r="K5" s="45" t="str">
        <x:v>采用标签修复</x:v>
      </x:c>
      <x:c r="L5" s="45" t="str">
        <x:v>修订后主要结论</x:v>
      </x:c>
      <x:c r="M5" s="45" t="str">
        <x:v>修订后主要法院/法域或机关</x:v>
      </x:c>
      <x:c r="N5" s="45" t="str">
        <x:v>修订后主要管辖类型</x:v>
      </x:c>
      <x:c r="O5" s="45" t="str">
        <x:v>修订后备选管辖类型</x:v>
      </x:c>
      <x:c r="P5" s="45" t="str">
        <x:v>材料是否不足</x:v>
      </x:c>
      <x:c r="Q5" s="45" t="str">
        <x:v>是否条件式回答</x:v>
      </x:c>
      <x:c r="R5" s="45" t="str">
        <x:v>法律依据</x:v>
      </x:c>
      <x:c r="S5" s="45" t="str">
        <x:v>缺失事实/条件</x:v>
      </x:c>
      <x:c r="T5" s="45" t="str">
        <x:v>歧义程度</x:v>
      </x:c>
      <x:c r="U5" s="45" t="str">
        <x:v>信心(1-5)</x:v>
      </x:c>
      <x:c r="V5" s="45" t="str">
        <x:v>联合确认理由</x:v>
      </x:c>
      <x:c r="W5" s="45" t="str">
        <x:v>R1 确认</x:v>
      </x:c>
      <x:c r="X5" s="45" t="str">
        <x:v>R2 确认</x:v>
      </x:c>
      <x:c r="Y5" s="45" t="str">
        <x:v>确认日期</x:v>
      </x:c>
      <x:c r="Z5" s="45" t="str">
        <x:v>一致性检查</x:v>
      </x:c>
      <x:c r="AA5" s="45" t="str">
        <x:v>完成状态</x:v>
      </x:c>
    </x:row>
    <x:row r="6" ht="126" customHeight="1">
      <x:c r="A6" s="73" t="n">
        <x:v>1</x:v>
      </x:c>
      <x:c r="B6" s="74" t="str">
        <x:v>D1-7837155405</x:v>
      </x:c>
      <x:c r="C6" s="74" t="str">
        <x:v>C2-1E0BD448C5</x:v>
      </x:c>
      <x:c r="D6" s="74" t="str">
        <x:v>德国驾驶员乙在法国度假时因其疏忽撞伤法国行人甲；甲欲在法国起诉乙请求赔偿。</x:v>
      </x:c>
      <x:c r="E6" s="74" t="str">
        <x:v>将“德国驾驶员乙”改为“住所位于德国的驾驶员乙”；如仅指德国国籍，则不能直接适用 Art.7(2)。</x:v>
      </x:c>
      <x:c r="F6" s="74" t="str">
        <x:v>住所位于德国的驾驶员乙在法国度假时因疏忽撞伤住所位于法国的行人甲；甲拟在法国法院起诉乙请求损害赔偿。</x:v>
      </x:c>
      <x:c r="G6" s="79" t="str">
        <x:v>住所位于德国的驾驶员乙在法国度假时因疏忽撞伤住所位于法国的行人甲；甲拟在法国法院起诉乙请求损害赔偿。</x:v>
      </x:c>
      <x:c r="H6" s="79" t="str">
        <x:v>yes</x:v>
      </x:c>
      <x:c r="I6" s="82" t="str">
        <x:v>无新增标签；修订只补足 Art.7(2) 适用所需的成员国住所连接点。</x:v>
      </x:c>
      <x:c r="J6" s="82" t="str">
        <x:v>不新增标签。建议结论：Court_of_X_has_jurisdiction；法院：法国法院；主要类型：special；备选类型：general。</x:v>
      </x:c>
      <x:c r="K6" s="79" t="str">
        <x:v>yes</x:v>
      </x:c>
      <x:c r="L6" s="79" t="str">
        <x:v>Court_of_X_has_jurisdiction</x:v>
      </x:c>
      <x:c r="M6" s="79" t="str">
        <x:v>法国法院</x:v>
      </x:c>
      <x:c r="N6" s="79" t="str">
        <x:v>special</x:v>
      </x:c>
      <x:c r="O6" s="79" t="str">
        <x:v>general</x:v>
      </x:c>
      <x:c r="P6" s="79" t="str">
        <x:v>no</x:v>
      </x:c>
      <x:c r="Q6" s="79" t="str">
        <x:v>no</x:v>
      </x:c>
      <x:c r="R6" s="79" t="str">
        <x:v>Regulation (EU) No 1215/2012 Arts.4(1), 5(1), 7(2)</x:v>
      </x:c>
      <x:c r="S6" s="79" t="str">
        <x:v>无；修订案情已明确乙住所位于德国，且侵权损害事件发生于法国。</x:v>
      </x:c>
      <x:c r="T6" s="79" t="str">
        <x:v>low</x:v>
      </x:c>
      <x:c r="U6" s="79" t="n">
        <x:v>5</x:v>
      </x:c>
      <x:c r="V6" s="79" t="str">
        <x:v>乙住所位于德国，法国是侵权损害事件发生地，故法国法院依 Art.7(2) 具有特别管辖；乙住所地德国法院另依 Art.4(1) 具有一般管辖。</x:v>
      </x:c>
      <x:c r="W6" s="79" t="str">
        <x:v>yes</x:v>
      </x:c>
      <x:c r="X6" s="79" t="str">
        <x:v>yes</x:v>
      </x:c>
      <x:c r="Y6" s="91" t="n">
        <x:v>46269</x:v>
      </x:c>
      <x:c r="Z6" s="85" t="str">
        <x:f>IF(OR(G6="",H6&lt;&gt;"yes",K6="",L6="",M6="",N6="",P6="",Q6="",R6="",T6="",U6&lt;1,U6&gt;5,V6=""),"字段不完整",IF(L6="Abstain_Insufficient_Info",IF(AND(M6="none",N6="none",P6="yes",S6&lt;&gt;""),"通过","弃答字段不一致"),IF(L6="No_EU_jurisdiction_use_member_state_law",IF(AND(N6="none",P6="no"),"通过","No_EU 字段不一致"),IF(AND(M6&lt;&gt;"none",N6&lt;&gt;"none",P6="no"),"通过","非弃答字段不一致"))))</x:f>
        <x:v>通过</x:v>
      </x:c>
      <x:c r="AA6" s="86" t="str">
        <x:f>IF(AND(Z6="通过",W6="yes",X6="yes",Y6&lt;&gt;""),"已确认","待完成")</x:f>
        <x:v>已确认</x:v>
      </x:c>
    </x:row>
    <x:row r="7" ht="126" customHeight="1">
      <x:c r="A7" s="75" t="n">
        <x:v>2</x:v>
      </x:c>
      <x:c r="B7" s="76" t="str">
        <x:v>D1-506D85585E</x:v>
      </x:c>
      <x:c r="C7" s="76" t="str">
        <x:v>C2-2428AB5B5D</x:v>
      </x:c>
      <x:c r="D7" s="76" t="str">
        <x:v>甲在葡萄牙法院起诉德国被告乙，案件与葡萄牙并无连接点；乙仅为提出管辖异议而出庭，未就实体进行答辩。</x:v>
      </x:c>
      <x:c r="E7" s="76" t="str">
        <x:v>将“德国被告乙”改为“住所位于德国的被告乙”。</x:v>
      </x:c>
      <x:c r="F7" s="76" t="str">
        <x:v>住所位于德国的被告乙被甲诉至葡萄牙法院；案件与葡萄牙不存在其他管辖连接点。乙仅为提出管辖异议而出庭，未就实体答辩。</x:v>
      </x:c>
      <x:c r="G7" s="80" t="str">
        <x:v>住所位于德国的被告乙被甲诉至葡萄牙法院；案件与葡萄牙不存在其他管辖连接点。乙仅为提出管辖异议而出庭，未就实体答辩。</x:v>
      </x:c>
      <x:c r="H7" s="80" t="str">
        <x:v>yes</x:v>
      </x:c>
      <x:c r="I7" s="83" t="str">
        <x:v>无新增标签；修订明确德国住所，并保留“仅为抗辩管辖而出庭”的事实。</x:v>
      </x:c>
      <x:c r="J7" s="83" t="str">
        <x:v>不新增标签。建议结论：Court_of_X_has_jurisdiction；法院：德国法院；主要类型：general。</x:v>
      </x:c>
      <x:c r="K7" s="80" t="str">
        <x:v>yes</x:v>
      </x:c>
      <x:c r="L7" s="80" t="str">
        <x:v>Court_of_X_has_jurisdiction</x:v>
      </x:c>
      <x:c r="M7" s="80" t="str">
        <x:v>德国法院</x:v>
      </x:c>
      <x:c r="N7" s="80" t="str">
        <x:v>general</x:v>
      </x:c>
      <x:c r="O7" s="80" t="str">
        <x:v>none</x:v>
      </x:c>
      <x:c r="P7" s="80" t="str">
        <x:v>no</x:v>
      </x:c>
      <x:c r="Q7" s="80" t="str">
        <x:v>no</x:v>
      </x:c>
      <x:c r="R7" s="80" t="str">
        <x:v>Regulation (EU) No 1215/2012 Arts.4(1), 26(1)</x:v>
      </x:c>
      <x:c r="S7" s="80" t="str">
        <x:v>无；修订案情已明确乙住所位于德国，且乙仅为提出管辖异议而在葡萄牙出庭。</x:v>
      </x:c>
      <x:c r="T7" s="80" t="str">
        <x:v>low</x:v>
      </x:c>
      <x:c r="U7" s="80" t="n">
        <x:v>5</x:v>
      </x:c>
      <x:c r="V7" s="80" t="str">
        <x:v>乙仅为提出管辖异议而出庭，依 Art.26(1) 不构成葡萄牙法院的应诉管辖；乙住所位于德国，因此德国法院依 Art.4(1) 具有一般管辖。</x:v>
      </x:c>
      <x:c r="W7" s="80" t="str">
        <x:v>yes</x:v>
      </x:c>
      <x:c r="X7" s="80" t="str">
        <x:v>yes</x:v>
      </x:c>
      <x:c r="Y7" s="92" t="n">
        <x:v>46269</x:v>
      </x:c>
      <x:c r="Z7" s="87" t="str">
        <x:f>IF(OR(G7="",H7&lt;&gt;"yes",K7="",L7="",M7="",N7="",P7="",Q7="",R7="",T7="",U7&lt;1,U7&gt;5,V7=""),"字段不完整",IF(L7="Abstain_Insufficient_Info",IF(AND(M7="none",N7="none",P7="yes",S7&lt;&gt;""),"通过","弃答字段不一致"),IF(L7="No_EU_jurisdiction_use_member_state_law",IF(AND(N7="none",P7="no"),"通过","No_EU 字段不一致"),IF(AND(M7&lt;&gt;"none",N7&lt;&gt;"none",P7="no"),"通过","非弃答字段不一致"))))</x:f>
        <x:v>通过</x:v>
      </x:c>
      <x:c r="AA7" s="88" t="str">
        <x:f>IF(AND(Z7="通过",W7="yes",X7="yes",Y7&lt;&gt;""),"已确认","待完成")</x:f>
        <x:v>已确认</x:v>
      </x:c>
    </x:row>
    <x:row r="8" ht="126" customHeight="1">
      <x:c r="A8" s="75" t="n">
        <x:v>3</x:v>
      </x:c>
      <x:c r="B8" s="76" t="str">
        <x:v>D1-D29CCEB18B</x:v>
      </x:c>
      <x:c r="C8" s="76" t="str">
        <x:v>C2-BE1C94E83E</x:v>
      </x:c>
      <x:c r="D8" s="76" t="str">
        <x:v>乙为德国国籍但长期居住在中国；甲（德国居民）拟在德国起诉乙。</x:v>
      </x:c>
      <x:c r="E8" s="76" t="str">
        <x:v>改为“乙在起诉时住所仅位于中国，且在任何欧盟成员国均无住所”。</x:v>
      </x:c>
      <x:c r="F8" s="76" t="str">
        <x:v>乙在起诉时住所仅位于中国，且在任何欧盟成员国均无住所；甲住所位于德国，拟在德国起诉乙。案情不涉及消费者、雇佣、专属管辖或选择法院协议。</x:v>
      </x:c>
      <x:c r="G8" s="80" t="str">
        <x:v>乙在起诉时住所仅位于中国，且在任何欧盟成员国均无住所；甲住所位于德国，拟在德国起诉乙。案情不涉及消费者、雇佣、专属管辖或选择法院协议。</x:v>
      </x:c>
      <x:c r="H8" s="80" t="str">
        <x:v>yes</x:v>
      </x:c>
      <x:c r="I8" s="83" t="str">
        <x:v>无新增标签；修订明确 Art.6(1) 的启动事实并排除题干中未给出的条例例外。</x:v>
      </x:c>
      <x:c r="J8" s="83" t="str">
        <x:v>不新增标签。建议结论：No_EU_jurisdiction_use_member_state_law；法院/法域：德国法院依德国国内法判断；主要类型：none。</x:v>
      </x:c>
      <x:c r="K8" s="80" t="str">
        <x:v>yes</x:v>
      </x:c>
      <x:c r="L8" s="80" t="str">
        <x:v>No_EU_jurisdiction_use_member_state_law</x:v>
      </x:c>
      <x:c r="M8" s="80" t="str">
        <x:v>德国法院（依德国国内法判断）</x:v>
      </x:c>
      <x:c r="N8" s="80" t="str">
        <x:v>none</x:v>
      </x:c>
      <x:c r="O8" s="80" t="str">
        <x:v>none</x:v>
      </x:c>
      <x:c r="P8" s="80" t="str">
        <x:v>no</x:v>
      </x:c>
      <x:c r="Q8" s="80" t="str">
        <x:v>no</x:v>
      </x:c>
      <x:c r="R8" s="80" t="str">
        <x:v>Regulation (EU) No 1215/2012 Arts.4(1), 6(1)-(2), 62(1)</x:v>
      </x:c>
      <x:c r="S8" s="80" t="str">
        <x:v>无；修订案情已明确乙在任何欧盟成员国均无住所，并排除消费者、雇佣、专属管辖及选择法院协议等条例例外。</x:v>
      </x:c>
      <x:c r="T8" s="80" t="str">
        <x:v>low</x:v>
      </x:c>
      <x:c r="U8" s="80" t="n">
        <x:v>5</x:v>
      </x:c>
      <x:c r="V8" s="80" t="str">
        <x:v>乙在任何欧盟成员国均无住所，且案情已排除消费者、雇佣、专属管辖及选择法院协议等例外；因此依 Art.6(1)，德国法院是否有管辖权转由德国国内法判断。甲住所位于德国，依 Art.6(2) 可在与德国国民相同条件下援用德国现行国内管辖规则。</x:v>
      </x:c>
      <x:c r="W8" s="80" t="str">
        <x:v>yes</x:v>
      </x:c>
      <x:c r="X8" s="80" t="str">
        <x:v>yes</x:v>
      </x:c>
      <x:c r="Y8" s="92" t="n">
        <x:v>46269</x:v>
      </x:c>
      <x:c r="Z8" s="87" t="str">
        <x:f>IF(OR(G8="",H8&lt;&gt;"yes",K8="",L8="",M8="",N8="",P8="",Q8="",R8="",T8="",U8&lt;1,U8&gt;5,V8=""),"字段不完整",IF(L8="Abstain_Insufficient_Info",IF(AND(M8="none",N8="none",P8="yes",S8&lt;&gt;""),"通过","弃答字段不一致"),IF(L8="No_EU_jurisdiction_use_member_state_law",IF(AND(N8="none",P8="no"),"通过","No_EU 字段不一致"),IF(AND(M8&lt;&gt;"none",N8&lt;&gt;"none",P8="no"),"通过","非弃答字段不一致"))))</x:f>
        <x:v>通过</x:v>
      </x:c>
      <x:c r="AA8" s="88" t="str">
        <x:f>IF(AND(Z8="通过",W8="yes",X8="yes",Y8&lt;&gt;""),"已确认","待完成")</x:f>
        <x:v>已确认</x:v>
      </x:c>
    </x:row>
    <x:row r="9" ht="126" customHeight="1">
      <x:c r="A9" s="75" t="n">
        <x:v>4</x:v>
      </x:c>
      <x:c r="B9" s="76" t="str">
        <x:v>D1-CCAF751480</x:v>
      </x:c>
      <x:c r="C9" s="76" t="str">
        <x:v>C2-862B421FF2</x:v>
      </x:c>
      <x:c r="D9" s="76" t="str">
        <x:v>甲在瑞典注册一项欧盟商标；乙在德国起诉，请求宣告该商标注册无效。</x:v>
      </x:c>
      <x:c r="E9" s="76" t="str">
        <x:v>将“甲在瑞典注册一项欧盟商标”改为“甲持有一项由 EUIPO 注册的欧盟商标”。</x:v>
      </x:c>
      <x:c r="F9" s="76" t="str">
        <x:v>甲持有一项由欧盟知识产权局（EUIPO）注册的欧盟商标。乙没有在侵权诉讼中提出反诉，而是在德国法院单独起诉，请求宣告该欧盟商标无效。</x:v>
      </x:c>
      <x:c r="G9" s="80" t="str">
        <x:v>甲持有一项由欧盟知识产权局（EUIPO）注册的欧盟商标。乙没有在侵权诉讼中提出反诉，而是在德国法院单独起诉，请求宣告该欧盟商标无效。</x:v>
      </x:c>
      <x:c r="H9" s="80" t="str">
        <x:v>yes</x:v>
      </x:c>
      <x:c r="I9" s="83" t="str">
        <x:v>现有结论 Court_of_X_has_jurisdiction 把 EUIPO 错称为法院。独立无效申请与侵权诉讼中的无效反诉必须区分。</x:v>
      </x:c>
      <x:c r="J9" s="83" t="str">
        <x:v>建议新增结论 Authority_of_X_has_jurisdiction；机关：EUIPO；主要类型仍为 exclusive。若不同意新增标签，应说明是排除该案例还是采用其他可审计编码。</x:v>
      </x:c>
      <x:c r="K9" s="80" t="str">
        <x:v>yes</x:v>
      </x:c>
      <x:c r="L9" s="80" t="str">
        <x:v>Authority_of_X_has_jurisdiction</x:v>
      </x:c>
      <x:c r="M9" s="80" t="str">
        <x:v>欧盟知识产权局（EUIPO）</x:v>
      </x:c>
      <x:c r="N9" s="80" t="str">
        <x:v>exclusive</x:v>
      </x:c>
      <x:c r="O9" s="80" t="str">
        <x:v>none</x:v>
      </x:c>
      <x:c r="P9" s="80" t="str">
        <x:v>no</x:v>
      </x:c>
      <x:c r="Q9" s="80" t="str">
        <x:v>no</x:v>
      </x:c>
      <x:c r="R9" s="80" t="str">
        <x:v>Regulation (EU) 2017/1001 Arts.63(1), 124(d), 128(1), 135</x:v>
      </x:c>
      <x:c r="S9" s="80" t="str">
        <x:v>无；修订案情已明确该欧盟商标由 EUIPO 注册，且乙提出的是独立无效申请而非侵权诉讼中的无效反诉。</x:v>
      </x:c>
      <x:c r="T9" s="80" t="str">
        <x:v>low</x:v>
      </x:c>
      <x:c r="U9" s="80" t="n">
        <x:v>5</x:v>
      </x:c>
      <x:c r="V9" s="80" t="str">
        <x:v>对欧盟商标提出独立无效申请应依 Art.63(1) 向 EUIPO 提出。Art.124(d)、128 仅将无效问题纳入欧盟商标法院中的反诉框架；Art.135 进一步规范此类反诉/无效程序与 EUIPO 程序之间的协调。题干明确为德国法院中的独立无效之诉，故适当机关为 EUIPO。</x:v>
      </x:c>
      <x:c r="W9" s="80" t="str">
        <x:v>yes</x:v>
      </x:c>
      <x:c r="X9" s="80" t="str">
        <x:v>yes</x:v>
      </x:c>
      <x:c r="Y9" s="92" t="n">
        <x:v>46269</x:v>
      </x:c>
      <x:c r="Z9" s="87" t="str">
        <x:f>IF(OR(G9="",H9&lt;&gt;"yes",K9="",L9="",M9="",N9="",P9="",Q9="",R9="",T9="",U9&lt;1,U9&gt;5,V9=""),"字段不完整",IF(L9="Abstain_Insufficient_Info",IF(AND(M9="none",N9="none",P9="yes",S9&lt;&gt;""),"通过","弃答字段不一致"),IF(L9="No_EU_jurisdiction_use_member_state_law",IF(AND(N9="none",P9="no"),"通过","No_EU 字段不一致"),IF(AND(M9&lt;&gt;"none",N9&lt;&gt;"none",P9="no"),"通过","非弃答字段不一致"))))</x:f>
        <x:v>通过</x:v>
      </x:c>
      <x:c r="AA9" s="88" t="str">
        <x:f>IF(AND(Z9="通过",W9="yes",X9="yes",Y9&lt;&gt;""),"已确认","待完成")</x:f>
        <x:v>已确认</x:v>
      </x:c>
    </x:row>
    <x:row r="10" ht="126" customHeight="1">
      <x:c r="A10" s="77" t="n">
        <x:v>5</x:v>
      </x:c>
      <x:c r="B10" s="78" t="str">
        <x:v>D1-758307C702</x:v>
      </x:c>
      <x:c r="C10" s="78" t="str">
        <x:v>C2-724A72C398</x:v>
      </x:c>
      <x:c r="D10" s="78" t="str">
        <x:v>意大利法院受理甲对乙的侵权之诉；随后法国法院受理同一投资项目下甲对丙的合同责任之诉，两案事实背景高度重合但请求不同。</x:v>
      </x:c>
      <x:c r="E10" s="78" t="str">
        <x:v>补充法国合同之诉的独立国际管辖连接点，并明确是否存在不可调和判决风险及能否合并审理；或将问题明确为“法国后受理法院是否可依 Art.30 酌情中止”。</x:v>
      </x:c>
      <x:c r="F10" s="78" t="str">
        <x:v>意大利法院先受理甲对乙的侵权诉讼，该案仍在一审。随后，法国法院受理同一投资项目下甲对丙的合同责任诉讼；丙住所位于法国，法国法院对第二案具有独立国际管辖权。两案核心事实高度重合，分开审理存在不可调和判决风险；意大利法院对两项诉讼均有管辖权，且意大利法允许合并审理。丙申请法国法院依 Article 30 中止或放弃管辖。</x:v>
      </x:c>
      <x:c r="G10" s="81" t="str">
        <x:v>意大利法院先受理甲对乙的侵权诉讼，该案仍在一审。随后，法国法院受理同一投资项目下甲对丙的合同责任诉讼；丙住所位于法国，法国法院对第二案具有独立国际管辖权。两案核心事实高度重合，分开审理存在不可调和判决风险；意大利法院对两项诉讼均有管辖权，且意大利法允许合并审理。丙申请法国法院依 Article 30 中止或放弃管辖。</x:v>
      </x:c>
      <x:c r="H10" s="81" t="str">
        <x:v>yes</x:v>
      </x:c>
      <x:c r="I10" s="84" t="str">
        <x:v>现有 Stay_for_first_seised / lis_pendens 对应 Art.29 的强制规则，不能准确表达 Art.30 related actions 的酌情中止/放弃。</x:v>
      </x:c>
      <x:c r="J10" s="84" t="str">
        <x:v>建议新增结论 May_stay_or_decline_for_related_actions 和主要类型 related_actions；法院：法国法院可酌情中止，满足 Art.30(2) 时可放弃管辖。</x:v>
      </x:c>
      <x:c r="K10" s="81" t="str">
        <x:v>yes</x:v>
      </x:c>
      <x:c r="L10" s="81" t="str">
        <x:v>May_stay_or_decline_for_related_actions</x:v>
      </x:c>
      <x:c r="M10" s="81" t="str">
        <x:v>法国法院（后受理法院）</x:v>
      </x:c>
      <x:c r="N10" s="81" t="str">
        <x:v>related_actions</x:v>
      </x:c>
      <x:c r="O10" s="81" t="str">
        <x:v>none</x:v>
      </x:c>
      <x:c r="P10" s="81" t="str">
        <x:v>no</x:v>
      </x:c>
      <x:c r="Q10" s="81" t="str">
        <x:v>no</x:v>
      </x:c>
      <x:c r="R10" s="81" t="str">
        <x:v>Regulation (EU) No 1215/2012 Art.30(1)-(3)</x:v>
      </x:c>
      <x:c r="S10" s="81" t="str">
        <x:v>无；修订案情已补足法国法院的独立管辖连接点、两案的相关性及不可调和判决风险，并明确意大利法院可对两案行使管辖且可合并审理。</x:v>
      </x:c>
      <x:c r="T10" s="81" t="str">
        <x:v>low</x:v>
      </x:c>
      <x:c r="U10" s="81" t="n">
        <x:v>5</x:v>
      </x:c>
      <x:c r="V10" s="81" t="str">
        <x:v>两案当事人和请求不同，不适用 Art.29 的强制 lis pendens；但依 Art.30(3) 属相关诉讼。法国法院可依 Art.30(1) 酌情中止；因先受理诉讼仍在一审、意大利法院对两案均有管辖且可合并审理，并已有当事人申请，法国法院还可依 Art.30(2) 放弃管辖。</x:v>
      </x:c>
      <x:c r="W10" s="81" t="str">
        <x:v>yes</x:v>
      </x:c>
      <x:c r="X10" s="81" t="str">
        <x:v>yes</x:v>
      </x:c>
      <x:c r="Y10" s="93" t="n">
        <x:v>46269</x:v>
      </x:c>
      <x:c r="Z10" s="89" t="str">
        <x:f>IF(OR(G10="",H10&lt;&gt;"yes",K10="",L10="",M10="",N10="",P10="",Q10="",R10="",T10="",U10&lt;1,U10&gt;5,V10=""),"字段不完整",IF(L10="Abstain_Insufficient_Info",IF(AND(M10="none",N10="none",P10="yes",S10&lt;&gt;""),"通过","弃答字段不一致"),IF(L10="No_EU_jurisdiction_use_member_state_law",IF(AND(N10="none",P10="no"),"通过","No_EU 字段不一致"),IF(AND(M10&lt;&gt;"none",N10&lt;&gt;"none",P10="no"),"通过","非弃答字段不一致"))))</x:f>
        <x:v>通过</x:v>
      </x:c>
      <x:c r="AA10" s="90" t="str">
        <x:f>IF(AND(Z10="通过",W10="yes",X10="yes",Y10&lt;&gt;""),"已确认","待完成")</x:f>
        <x:v>已确认</x:v>
      </x:c>
    </x:row>
  </x:sheetData>
  <x:mergeCells>
    <x:mergeCell ref="A1:AA1"/>
    <x:mergeCell ref="A2:AA2"/>
  </x:mergeCells>
  <x:conditionalFormatting sqref="Z6:Z10">
    <x:cfRule type="containsText" dxfId="1" priority="1" operator="containsText" text="通过"/>
  </x:conditionalFormatting>
  <x:conditionalFormatting sqref="AA6:AA10">
    <x:cfRule type="containsText" dxfId="2" priority="2" operator="containsText" text="已确认"/>
  </x:conditionalFormatting>
  <x:dataValidations count="10">
    <x:dataValidation type="list" sqref="H6:H10">
      <x:formula1>'选项'!$C$2:$C$3</x:formula1>
    </x:dataValidation>
    <x:dataValidation type="list" sqref="K6:K10">
      <x:formula1>'选项'!$C$2:$C$3</x:formula1>
    </x:dataValidation>
    <x:dataValidation type="list" sqref="P6:P10">
      <x:formula1>'选项'!$C$2:$C$3</x:formula1>
    </x:dataValidation>
    <x:dataValidation type="list" sqref="Q6:Q10">
      <x:formula1>'选项'!$C$2:$C$3</x:formula1>
    </x:dataValidation>
    <x:dataValidation type="list" sqref="W6:W10">
      <x:formula1>'选项'!$C$2:$C$3</x:formula1>
    </x:dataValidation>
    <x:dataValidation type="list" sqref="X6:X10">
      <x:formula1>'选项'!$C$2:$C$3</x:formula1>
    </x:dataValidation>
    <x:dataValidation type="list" sqref="L6:L10">
      <x:formula1>'选项'!$A$2:$A$8</x:formula1>
    </x:dataValidation>
    <x:dataValidation type="list" sqref="N6:N10">
      <x:formula1>'选项'!$B$2:$B$10</x:formula1>
    </x:dataValidation>
    <x:dataValidation type="list" sqref="T6:T10">
      <x:formula1>'选项'!$D$2:$D$4</x:formula1>
    </x:dataValidation>
    <x:dataValidation type="whole" operator="between" sqref="U6:U10">
      <x:formula1>1</x:formula1>
      <x:formula2>5</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48" hidden="0" customWidth="1"/>
    <x:col min="4" max="4" width="46" hidden="0" customWidth="1"/>
    <x:col min="5" max="5" width="48" hidden="0" customWidth="1"/>
    <x:col min="6" max="6" width="58" hidden="0" customWidth="1"/>
    <x:col min="7" max="7" width="44" hidden="0" customWidth="1"/>
    <x:col min="8" max="8" width="56" hidden="0" customWidth="1"/>
  </x:cols>
  <x:sheetData>
    <x:row r="1" ht="34" customHeight="1">
      <x:c r="A1" s="4" t="str">
        <x:v>法源与标签修复依据</x:v>
      </x:c>
      <x:c r="B1" s="4" t="str">
        <x:v>法源与标签修复依据</x:v>
      </x:c>
      <x:c r="C1" s="4" t="str">
        <x:v>法源与标签修复依据</x:v>
      </x:c>
      <x:c r="D1" s="4" t="str">
        <x:v>法源与标签修复依据</x:v>
      </x:c>
      <x:c r="E1" s="4" t="str">
        <x:v>法源与标签修复依据</x:v>
      </x:c>
      <x:c r="F1" s="4" t="str">
        <x:v>法源与标签修复依据</x:v>
      </x:c>
      <x:c r="G1" s="4" t="str">
        <x:v>法源与标签修复依据</x:v>
      </x:c>
      <x:c r="H1" s="4" t="str">
        <x:v>法源与标签修复依据</x:v>
      </x:c>
    </x:row>
    <x:row r="4" ht="44" customHeight="1">
      <x:c r="A4" s="45" t="str">
        <x:v>复确认编号</x:v>
      </x:c>
      <x:c r="B4" s="45" t="str">
        <x:v>法源</x:v>
      </x:c>
      <x:c r="C4" s="45" t="str">
        <x:v>官方链接</x:v>
      </x:c>
      <x:c r="D4" s="45" t="str">
        <x:v>核心核对点</x:v>
      </x:c>
      <x:c r="E4" s="45" t="str">
        <x:v>原案情事实</x:v>
      </x:c>
      <x:c r="F4" s="45" t="str">
        <x:v>完整修订案情草案</x:v>
      </x:c>
      <x:c r="G4" s="45" t="str">
        <x:v>标签缺口</x:v>
      </x:c>
      <x:c r="H4" s="45" t="str">
        <x:v>标签修复建议</x:v>
      </x:c>
    </x:row>
    <x:row r="5" ht="110" customHeight="1">
      <x:c r="A5" s="121" t="str">
        <x:v>D1-7837155405</x:v>
      </x:c>
      <x:c r="B5" s="122" t="str">
        <x:v>Regulation (EU) No 1215/2012 Arts.4(1), 5(1), 7(2)</x:v>
      </x:c>
      <x:c r="C5" s="122" t="str">
        <x:v>https://eur-lex.europa.eu/legal-content/EN/TXT/?uri=CELEX:32012R1215</x:v>
      </x:c>
      <x:c r="D5" s="127" t="str">
        <x:v>Art.7 的适用以被告在成员国有住所为前提；题干仅称“德国驾驶员”，不足以确定该住所连接点。依共识说明的严格材料口径，现阶段弃答，并在明确德国住所后重新确认法国法院的侵权特别管辖。</x:v>
      </x:c>
      <x:c r="E5" s="127" t="str">
        <x:v>德国驾驶员乙在法国度假时因其疏忽撞伤法国行人甲；甲欲在法国起诉乙请求赔偿。</x:v>
      </x:c>
      <x:c r="F5" s="127" t="str">
        <x:v>住所位于德国的驾驶员乙在法国度假时因疏忽撞伤住所位于法国的行人甲；甲拟在法国法院起诉乙请求损害赔偿。</x:v>
      </x:c>
      <x:c r="G5" s="127" t="str">
        <x:v>无新增标签；修订只补足 Art.7(2) 适用所需的成员国住所连接点。</x:v>
      </x:c>
      <x:c r="H5" s="128" t="str">
        <x:v>不新增标签。建议结论：Court_of_X_has_jurisdiction；法院：法国法院；主要类型：special；备选类型：general。</x:v>
      </x:c>
    </x:row>
    <x:row r="6" ht="110" customHeight="1">
      <x:c r="A6" s="123" t="str">
        <x:v>D1-506D85585E</x:v>
      </x:c>
      <x:c r="B6" s="124" t="str">
        <x:v>Regulation (EU) No 1215/2012 Arts.4(1), 26(1)</x:v>
      </x:c>
      <x:c r="C6" s="124" t="str">
        <x:v>https://eur-lex.europa.eu/legal-content/EN/TXT/?uri=CELEX:32012R1215</x:v>
      </x:c>
      <x:c r="D6" s="129" t="str">
        <x:v>乙仅为提出管辖异议而出庭，依 Art.26(1) 不构成葡萄牙法院的应诉管辖；但要进一步确定德国法院依 Art.4(1) 具有一般管辖，必须明确乙的德国住所。依严格材料口径，现阶段弃答并建议修订事实。</x:v>
      </x:c>
      <x:c r="E6" s="129" t="str">
        <x:v>甲在葡萄牙法院起诉德国被告乙，案件与葡萄牙并无连接点；乙仅为提出管辖异议而出庭，未就实体进行答辩。</x:v>
      </x:c>
      <x:c r="F6" s="129" t="str">
        <x:v>住所位于德国的被告乙被甲诉至葡萄牙法院；案件与葡萄牙不存在其他管辖连接点。乙仅为提出管辖异议而出庭，未就实体答辩。</x:v>
      </x:c>
      <x:c r="G6" s="129" t="str">
        <x:v>无新增标签；修订明确德国住所，并保留“仅为抗辩管辖而出庭”的事实。</x:v>
      </x:c>
      <x:c r="H6" s="130" t="str">
        <x:v>不新增标签。建议结论：Court_of_X_has_jurisdiction；法院：德国法院；主要类型：general。</x:v>
      </x:c>
    </x:row>
    <x:row r="7" ht="110" customHeight="1">
      <x:c r="A7" s="123" t="str">
        <x:v>D1-D29CCEB18B</x:v>
      </x:c>
      <x:c r="B7" s="124" t="str">
        <x:v>Regulation (EU) No 1215/2012 Arts.4(1), 6(1), 62(1)</x:v>
      </x:c>
      <x:c r="C7" s="124" t="str">
        <x:v>https://eur-lex.europa.eu/legal-content/EN/TXT/?uri=CELEX:32012R1215</x:v>
      </x:c>
      <x:c r="D7" s="129" t="str">
        <x:v>Art.4 的一般管辖以成员国住所为连接点，德国国籍并非替代标准；Art.62 要求依相关成员国国内法判断住所。只有明确乙无任何成员国住所后，才可依 Art.6(1) 转由德国国内法判断，故现阶段按严格口径弃答。</x:v>
      </x:c>
      <x:c r="E7" s="129" t="str">
        <x:v>乙为德国国籍但长期居住在中国；甲（德国居民）拟在德国起诉乙。</x:v>
      </x:c>
      <x:c r="F7" s="129" t="str">
        <x:v>乙在起诉时住所仅位于中国，且在任何欧盟成员国均无住所；甲住所位于德国，拟在德国起诉乙。案情不涉及消费者、雇佣、专属管辖或选择法院协议。</x:v>
      </x:c>
      <x:c r="G7" s="129" t="str">
        <x:v>无新增标签；修订明确 Art.6(1) 的启动事实并排除题干中未给出的条例例外。</x:v>
      </x:c>
      <x:c r="H7" s="130" t="str">
        <x:v>不新增标签。建议结论：No_EU_jurisdiction_use_member_state_law；法院/法域：德国法院依德国国内法判断；主要类型：none。</x:v>
      </x:c>
    </x:row>
    <x:row r="8" ht="110" customHeight="1">
      <x:c r="A8" s="123" t="str">
        <x:v>D1-CCAF751480</x:v>
      </x:c>
      <x:c r="B8" s="124" t="str">
        <x:v>Regulation (EU) 2017/1001 Arts.63(1), 124(d), 128(1), 135</x:v>
      </x:c>
      <x:c r="C8" s="124" t="str">
        <x:v>https://eur-lex.europa.eu/legal-content/EN/TXT/?uri=CELEX:32017R1001</x:v>
      </x:c>
      <x:c r="D8" s="129" t="str">
        <x:v>双方按修订后的事实确认：对欧盟商标提出独立无效申请原则上应向 EUIPO 提交；欧盟商标法院对无效的权限在 Art.124(d)、Art.128 框架下主要体现为侵权诉讼中的无效反诉。题干为德国独立起诉宣告无效，因此 EUIPO 是适当机构；exclusive 为现有编码中最接近的权限标签。</x:v>
      </x:c>
      <x:c r="E8" s="129" t="str">
        <x:v>甲在瑞典注册一项欧盟商标；乙在德国起诉，请求宣告该商标注册无效。</x:v>
      </x:c>
      <x:c r="F8" s="129" t="str">
        <x:v>甲持有一项由欧盟知识产权局（EUIPO）注册的欧盟商标。乙没有在侵权诉讼中提出反诉，而是在德国法院单独起诉，请求宣告该欧盟商标无效。</x:v>
      </x:c>
      <x:c r="G8" s="129" t="str">
        <x:v>现有结论 Court_of_X_has_jurisdiction 把 EUIPO 错称为法院。独立无效申请与侵权诉讼中的无效反诉必须区分。</x:v>
      </x:c>
      <x:c r="H8" s="130" t="str">
        <x:v>建议新增结论 Authority_of_X_has_jurisdiction；机关：EUIPO；主要类型仍为 exclusive。若不同意新增标签，应说明是排除该案例还是采用其他可审计编码。</x:v>
      </x:c>
    </x:row>
    <x:row r="9" ht="110" customHeight="1">
      <x:c r="A9" s="125" t="str">
        <x:v>D1-758307C702</x:v>
      </x:c>
      <x:c r="B9" s="126" t="str">
        <x:v>Regulation (EU) No 1215/2012 Art.30(1)-(3)</x:v>
      </x:c>
      <x:c r="C9" s="126" t="str">
        <x:v>https://eur-lex.europa.eu/legal-content/EN/TXT/?uri=CELEX:32012R1215</x:v>
      </x:c>
      <x:c r="D9" s="131" t="str">
        <x:v>两案并非同一当事人和同一诉因，Art.29 的强制先受理规则不适用；Art.30 仅规定相关诉讼的酌情中止及特定条件下放弃管辖，并不自行赋予法国法院实体国际管辖。现有事实不足以确定法国法院有管辖权，故弃答并建议修订事实。</x:v>
      </x:c>
      <x:c r="E9" s="131" t="str">
        <x:v>意大利法院受理甲对乙的侵权之诉；随后法国法院受理同一投资项目下甲对丙的合同责任之诉，两案事实背景高度重合但请求不同。</x:v>
      </x:c>
      <x:c r="F9" s="131" t="str">
        <x:v>意大利法院先受理甲对乙的侵权诉讼，该案仍在一审。随后，法国法院受理同一投资项目下甲对丙的合同责任诉讼；丙住所位于法国，法国法院对第二案具有独立国际管辖权。两案核心事实高度重合，分开审理存在不可调和判决风险；意大利法院对两项诉讼均有管辖权，且意大利法允许合并审理。丙申请法国法院依 Article 30 中止或放弃管辖。</x:v>
      </x:c>
      <x:c r="G9" s="131" t="str">
        <x:v>现有 Stay_for_first_seised / lis_pendens 对应 Art.29 的强制规则，不能准确表达 Art.30 related actions 的酌情中止/放弃。</x:v>
      </x:c>
      <x:c r="H9" s="132" t="str">
        <x:v>建议新增结论 May_stay_or_decline_for_related_actions 和主要类型 related_actions；法院：法国法院可酌情中止，满足 Art.30(2) 时可放弃管辖。</x:v>
      </x:c>
    </x:row>
  </x:sheetData>
  <x:mergeCells>
    <x:mergeCell ref="A1:H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6" hidden="0" customWidth="1"/>
    <x:col min="2" max="2" width="23" hidden="0" customWidth="1"/>
    <x:col min="3" max="3" width="14" hidden="0" customWidth="1"/>
    <x:col min="4" max="4" width="14" hidden="0" customWidth="1"/>
    <x:col min="5" max="5" width="14" hidden="0" customWidth="1"/>
  </x:cols>
  <x:sheetData>
    <x:row r="1" ht="44" customHeight="1">
      <x:c r="A1" s="45" t="str">
        <x:v>主要结论</x:v>
      </x:c>
      <x:c r="B1" s="45" t="str">
        <x:v>主要管辖类型</x:v>
      </x:c>
      <x:c r="C1" s="45" t="str">
        <x:v>是/否</x:v>
      </x:c>
      <x:c r="D1" s="45" t="str">
        <x:v>歧义程度</x:v>
      </x:c>
      <x:c r="E1" s="45" t="str">
        <x:v>信心</x:v>
      </x:c>
    </x:row>
    <x:row r="2" ht="32" customHeight="1">
      <x:c r="A2" s="103" t="str">
        <x:v>Court_of_X_has_jurisdiction</x:v>
      </x:c>
      <x:c r="B2" s="104" t="str">
        <x:v>exclusive</x:v>
      </x:c>
      <x:c r="C2" s="104" t="str">
        <x:v>yes</x:v>
      </x:c>
      <x:c r="D2" s="104" t="str">
        <x:v>low</x:v>
      </x:c>
      <x:c r="E2" s="105" t="n">
        <x:v>1</x:v>
      </x:c>
    </x:row>
    <x:row r="3" ht="32" customHeight="1">
      <x:c r="A3" s="106" t="str">
        <x:v>Stay_for_first_seised</x:v>
      </x:c>
      <x:c r="B3" s="107" t="str">
        <x:v>agreement</x:v>
      </x:c>
      <x:c r="C3" s="107" t="str">
        <x:v>no</x:v>
      </x:c>
      <x:c r="D3" s="107" t="str">
        <x:v>medium</x:v>
      </x:c>
      <x:c r="E3" s="108" t="n">
        <x:v>2</x:v>
      </x:c>
    </x:row>
    <x:row r="4" ht="32" customHeight="1">
      <x:c r="A4" s="106" t="str">
        <x:v>Decline_in_favor_of_chosen_court</x:v>
      </x:c>
      <x:c r="B4" s="107" t="str">
        <x:v>special</x:v>
      </x:c>
      <x:c r="C4" s="107" t="str"/>
      <x:c r="D4" s="107" t="str">
        <x:v>high</x:v>
      </x:c>
      <x:c r="E4" s="108" t="n">
        <x:v>3</x:v>
      </x:c>
    </x:row>
    <x:row r="5" ht="32" customHeight="1">
      <x:c r="A5" s="106" t="str">
        <x:v>No_EU_jurisdiction_use_member_state_law</x:v>
      </x:c>
      <x:c r="B5" s="107" t="str">
        <x:v>general</x:v>
      </x:c>
      <x:c r="C5" s="107" t="str"/>
      <x:c r="D5" s="107" t="str"/>
      <x:c r="E5" s="108" t="n">
        <x:v>4</x:v>
      </x:c>
    </x:row>
    <x:row r="6" ht="32" customHeight="1">
      <x:c r="A6" s="106" t="str">
        <x:v>Abstain_Insufficient_Info</x:v>
      </x:c>
      <x:c r="B6" s="107" t="str">
        <x:v>lis_pendens</x:v>
      </x:c>
      <x:c r="C6" s="107" t="str"/>
      <x:c r="D6" s="107" t="str"/>
      <x:c r="E6" s="108" t="n">
        <x:v>5</x:v>
      </x:c>
    </x:row>
    <x:row r="7" ht="32" customHeight="1">
      <x:c r="A7" s="106" t="str">
        <x:v>Authority_of_X_has_jurisdiction</x:v>
      </x:c>
      <x:c r="B7" s="107" t="str">
        <x:v>appearance</x:v>
      </x:c>
      <x:c r="C7" s="107" t="str"/>
      <x:c r="D7" s="107" t="str"/>
      <x:c r="E7" s="108" t="str"/>
    </x:row>
    <x:row r="8" ht="32" customHeight="1">
      <x:c r="A8" s="106" t="str">
        <x:v>May_stay_or_decline_for_related_actions</x:v>
      </x:c>
      <x:c r="B8" s="107" t="str">
        <x:v>none</x:v>
      </x:c>
      <x:c r="C8" s="107" t="str"/>
      <x:c r="D8" s="107" t="str"/>
      <x:c r="E8" s="108" t="str"/>
    </x:row>
    <x:row r="9" ht="32" customHeight="1">
      <x:c r="A9" s="109" t="str"/>
      <x:c r="B9" s="110" t="str">
        <x:v>related_actions</x:v>
      </x:c>
      <x:c r="C9" s="110" t="str"/>
      <x:c r="D9" s="110" t="str"/>
      <x:c r="E9" s="111" t="str"/>
    </x:row>
  </x:sheetData>
  <x:pageMargins left="0.7" right="0.7" top="0.75" bottom="0.75" header="0.3" footer="0.3"/>
</x:worksheet>
</file>